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Summary" sheetId="2" state="visible" r:id="rId4"/>
  </sheets>
  <definedNames>
    <definedName function="false" hidden="true" localSheetId="0" name="_xlnm._FilterDatabase" vbProcedure="false">Inventory!$A$1:$M$73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<sst xmlns="http://schemas.openxmlformats.org/spreadsheetml/2006/main" count="671" uniqueCount="273">
  <si>
    <t xml:space="preserve">Product ID</t>
  </si>
  <si>
    <t xml:space="preserve">Product Name</t>
  </si>
  <si>
    <t xml:space="preserve">Category</t>
  </si>
  <si>
    <t xml:space="preserve">SKU</t>
  </si>
  <si>
    <t xml:space="preserve">Supplier</t>
  </si>
  <si>
    <t xml:space="preserve">Warehouse</t>
  </si>
  <si>
    <t xml:space="preserve">Unit Price (₹)</t>
  </si>
  <si>
    <t xml:space="preserve">Cost Price (₹)</t>
  </si>
  <si>
    <t xml:space="preserve">Qty in Stock</t>
  </si>
  <si>
    <t xml:space="preserve">Reorder Level</t>
  </si>
  <si>
    <t xml:space="preserve">Status</t>
  </si>
  <si>
    <t xml:space="preserve">Last Restocked</t>
  </si>
  <si>
    <t xml:space="preserve">Expiry Date</t>
  </si>
  <si>
    <t xml:space="preserve">PRD-1001</t>
  </si>
  <si>
    <t xml:space="preserve">Wireless Keyboard</t>
  </si>
  <si>
    <t xml:space="preserve">Electronics</t>
  </si>
  <si>
    <t xml:space="preserve">ELE-93810</t>
  </si>
  <si>
    <t xml:space="preserve">TechSource Ltd</t>
  </si>
  <si>
    <t xml:space="preserve">Mumbai WH-A</t>
  </si>
  <si>
    <t xml:space="preserve">In Stock</t>
  </si>
  <si>
    <t xml:space="preserve">2025-02-10</t>
  </si>
  <si>
    <t xml:space="preserve">2027-06-30</t>
  </si>
  <si>
    <t xml:space="preserve">PRD-1002</t>
  </si>
  <si>
    <t xml:space="preserve">USB Hub 7-Port</t>
  </si>
  <si>
    <t xml:space="preserve">ELE-87397</t>
  </si>
  <si>
    <t xml:space="preserve">MegaWholesale</t>
  </si>
  <si>
    <t xml:space="preserve">2025-01-15</t>
  </si>
  <si>
    <t xml:space="preserve">2026-09-15</t>
  </si>
  <si>
    <t xml:space="preserve">PRD-1003</t>
  </si>
  <si>
    <t xml:space="preserve">Monitor Stand</t>
  </si>
  <si>
    <t xml:space="preserve">Furniture</t>
  </si>
  <si>
    <t xml:space="preserve">FUR-95181</t>
  </si>
  <si>
    <t xml:space="preserve">QualityGoods Ltd</t>
  </si>
  <si>
    <t xml:space="preserve">Chennai WH-D</t>
  </si>
  <si>
    <t xml:space="preserve">N/A</t>
  </si>
  <si>
    <t xml:space="preserve">PRD-1004</t>
  </si>
  <si>
    <t xml:space="preserve">Office Chair</t>
  </si>
  <si>
    <t xml:space="preserve">FUR-65392</t>
  </si>
  <si>
    <t xml:space="preserve">FastSupply Inc</t>
  </si>
  <si>
    <t xml:space="preserve">Bangalore WH-C</t>
  </si>
  <si>
    <t xml:space="preserve">PRD-1005</t>
  </si>
  <si>
    <t xml:space="preserve">Standing Desk</t>
  </si>
  <si>
    <t xml:space="preserve">FUR-22676</t>
  </si>
  <si>
    <t xml:space="preserve">PRD-1006</t>
  </si>
  <si>
    <t xml:space="preserve">Men's Polo Shirt</t>
  </si>
  <si>
    <t xml:space="preserve">Clothing</t>
  </si>
  <si>
    <t xml:space="preserve">CLO-20328</t>
  </si>
  <si>
    <t xml:space="preserve">PrimeDist Corp</t>
  </si>
  <si>
    <t xml:space="preserve">2025-04-20</t>
  </si>
  <si>
    <t xml:space="preserve">PRD-1007</t>
  </si>
  <si>
    <t xml:space="preserve">Running Shoes</t>
  </si>
  <si>
    <t xml:space="preserve">Sports</t>
  </si>
  <si>
    <t xml:space="preserve">SPO-16006</t>
  </si>
  <si>
    <t xml:space="preserve">Delhi WH-B</t>
  </si>
  <si>
    <t xml:space="preserve">PRD-1008</t>
  </si>
  <si>
    <t xml:space="preserve">Yoga Mat</t>
  </si>
  <si>
    <t xml:space="preserve">SPO-46434</t>
  </si>
  <si>
    <t xml:space="preserve">PRD-1009</t>
  </si>
  <si>
    <t xml:space="preserve">Coffee Maker</t>
  </si>
  <si>
    <t xml:space="preserve">Kitchen</t>
  </si>
  <si>
    <t xml:space="preserve">KIT-80010</t>
  </si>
  <si>
    <t xml:space="preserve">PRD-1010</t>
  </si>
  <si>
    <t xml:space="preserve">Blender Pro</t>
  </si>
  <si>
    <t xml:space="preserve">KIT-17331</t>
  </si>
  <si>
    <t xml:space="preserve">GlobalTrade Co</t>
  </si>
  <si>
    <t xml:space="preserve">Low Stock</t>
  </si>
  <si>
    <t xml:space="preserve">2024-12-15</t>
  </si>
  <si>
    <t xml:space="preserve">PRD-1011</t>
  </si>
  <si>
    <t xml:space="preserve">Staplers</t>
  </si>
  <si>
    <t xml:space="preserve">Office Supplies</t>
  </si>
  <si>
    <t xml:space="preserve">OFF-95909</t>
  </si>
  <si>
    <t xml:space="preserve">2025-03-05</t>
  </si>
  <si>
    <t xml:space="preserve">PRD-1012</t>
  </si>
  <si>
    <t xml:space="preserve">Printer Paper A4</t>
  </si>
  <si>
    <t xml:space="preserve">OFF-83579</t>
  </si>
  <si>
    <t xml:space="preserve">PRD-1013</t>
  </si>
  <si>
    <t xml:space="preserve">Ballpoint Pens (50pk)</t>
  </si>
  <si>
    <t xml:space="preserve">OFF-28131</t>
  </si>
  <si>
    <t xml:space="preserve">PRD-1014</t>
  </si>
  <si>
    <t xml:space="preserve">Drill Set</t>
  </si>
  <si>
    <t xml:space="preserve">Tools</t>
  </si>
  <si>
    <t xml:space="preserve">TOO-88172</t>
  </si>
  <si>
    <t xml:space="preserve">PRD-1015</t>
  </si>
  <si>
    <t xml:space="preserve">Hammer</t>
  </si>
  <si>
    <t xml:space="preserve">TOO-99353</t>
  </si>
  <si>
    <t xml:space="preserve">2026-11-30</t>
  </si>
  <si>
    <t xml:space="preserve">PRD-1016</t>
  </si>
  <si>
    <t xml:space="preserve">Bluetooth Speaker</t>
  </si>
  <si>
    <t xml:space="preserve">ELE-10425</t>
  </si>
  <si>
    <t xml:space="preserve">2027-03-01</t>
  </si>
  <si>
    <t xml:space="preserve">PRD-1017</t>
  </si>
  <si>
    <t xml:space="preserve">Webcam HD</t>
  </si>
  <si>
    <t xml:space="preserve">ELE-93748</t>
  </si>
  <si>
    <t xml:space="preserve">PRD-1018</t>
  </si>
  <si>
    <t xml:space="preserve">Laptop Stand</t>
  </si>
  <si>
    <t xml:space="preserve">ELE-74042</t>
  </si>
  <si>
    <t xml:space="preserve">2024-11-30</t>
  </si>
  <si>
    <t xml:space="preserve">PRD-1019</t>
  </si>
  <si>
    <t xml:space="preserve">Bookshelf 5-Tier</t>
  </si>
  <si>
    <t xml:space="preserve">FUR-17592</t>
  </si>
  <si>
    <t xml:space="preserve">PRD-1020</t>
  </si>
  <si>
    <t xml:space="preserve">Filing Cabinet</t>
  </si>
  <si>
    <t xml:space="preserve">FUR-96474</t>
  </si>
  <si>
    <t xml:space="preserve">PRD-1021</t>
  </si>
  <si>
    <t xml:space="preserve">Women's Jacket</t>
  </si>
  <si>
    <t xml:space="preserve">CLO-62296</t>
  </si>
  <si>
    <t xml:space="preserve">PRD-1022</t>
  </si>
  <si>
    <t xml:space="preserve">Sports Water Bottle</t>
  </si>
  <si>
    <t xml:space="preserve">SPO-54313</t>
  </si>
  <si>
    <t xml:space="preserve">PRD-1023</t>
  </si>
  <si>
    <t xml:space="preserve">Tennis Racket</t>
  </si>
  <si>
    <t xml:space="preserve">SPO-18834</t>
  </si>
  <si>
    <t xml:space="preserve">PRD-1024</t>
  </si>
  <si>
    <t xml:space="preserve">Electric Kettle</t>
  </si>
  <si>
    <t xml:space="preserve">KIT-84847</t>
  </si>
  <si>
    <t xml:space="preserve">PRD-1025</t>
  </si>
  <si>
    <t xml:space="preserve">Air Fryer</t>
  </si>
  <si>
    <t xml:space="preserve">KIT-96374</t>
  </si>
  <si>
    <t xml:space="preserve">2026-12-31</t>
  </si>
  <si>
    <t xml:space="preserve">PRD-1026</t>
  </si>
  <si>
    <t xml:space="preserve">Scissors</t>
  </si>
  <si>
    <t xml:space="preserve">OFF-62772</t>
  </si>
  <si>
    <t xml:space="preserve">2025-06-18</t>
  </si>
  <si>
    <t xml:space="preserve">PRD-1027</t>
  </si>
  <si>
    <t xml:space="preserve">Tape Dispenser</t>
  </si>
  <si>
    <t xml:space="preserve">OFF-65296</t>
  </si>
  <si>
    <t xml:space="preserve">PRD-1028</t>
  </si>
  <si>
    <t xml:space="preserve">Screwdriver Set</t>
  </si>
  <si>
    <t xml:space="preserve">TOO-95477</t>
  </si>
  <si>
    <t xml:space="preserve">PRD-1029</t>
  </si>
  <si>
    <t xml:space="preserve">Wrench Kit</t>
  </si>
  <si>
    <t xml:space="preserve">TOO-73653</t>
  </si>
  <si>
    <t xml:space="preserve">PRD-1030</t>
  </si>
  <si>
    <t xml:space="preserve">Action Figure Set</t>
  </si>
  <si>
    <t xml:space="preserve">Toys</t>
  </si>
  <si>
    <t xml:space="preserve">TOY-44760</t>
  </si>
  <si>
    <t xml:space="preserve">PRD-1031</t>
  </si>
  <si>
    <t xml:space="preserve">Board Game Classic</t>
  </si>
  <si>
    <t xml:space="preserve">TOY-34890</t>
  </si>
  <si>
    <t xml:space="preserve">PRD-1032</t>
  </si>
  <si>
    <t xml:space="preserve">Noise-Cancelling Headphones</t>
  </si>
  <si>
    <t xml:space="preserve">ELE-16572</t>
  </si>
  <si>
    <t xml:space="preserve">PRD-1033</t>
  </si>
  <si>
    <t xml:space="preserve">Smart Watch</t>
  </si>
  <si>
    <t xml:space="preserve">ELE-18981</t>
  </si>
  <si>
    <t xml:space="preserve">PRD-1034</t>
  </si>
  <si>
    <t xml:space="preserve">Ergonomic Mouse</t>
  </si>
  <si>
    <t xml:space="preserve">ELE-91183</t>
  </si>
  <si>
    <t xml:space="preserve">PRD-1035</t>
  </si>
  <si>
    <t xml:space="preserve">Desk Lamp LED</t>
  </si>
  <si>
    <t xml:space="preserve">ELE-97782</t>
  </si>
  <si>
    <t xml:space="preserve">PRD-1036</t>
  </si>
  <si>
    <t xml:space="preserve">Sofa 3-Seater</t>
  </si>
  <si>
    <t xml:space="preserve">FUR-51441</t>
  </si>
  <si>
    <t xml:space="preserve">PRD-1037</t>
  </si>
  <si>
    <t xml:space="preserve">Wall Clock</t>
  </si>
  <si>
    <t xml:space="preserve">FUR-27361</t>
  </si>
  <si>
    <t xml:space="preserve">PRD-1038</t>
  </si>
  <si>
    <t xml:space="preserve">Men's Running Shorts</t>
  </si>
  <si>
    <t xml:space="preserve">CLO-97538</t>
  </si>
  <si>
    <t xml:space="preserve">PRD-1039</t>
  </si>
  <si>
    <t xml:space="preserve">Women's Yoga Pants</t>
  </si>
  <si>
    <t xml:space="preserve">CLO-24029</t>
  </si>
  <si>
    <t xml:space="preserve">PRD-1040</t>
  </si>
  <si>
    <t xml:space="preserve">Football</t>
  </si>
  <si>
    <t xml:space="preserve">SPO-76244</t>
  </si>
  <si>
    <t xml:space="preserve">2025-05-01</t>
  </si>
  <si>
    <t xml:space="preserve">PRD-1041</t>
  </si>
  <si>
    <t xml:space="preserve">Badminton Set</t>
  </si>
  <si>
    <t xml:space="preserve">SPO-15778</t>
  </si>
  <si>
    <t xml:space="preserve">PRD-1042</t>
  </si>
  <si>
    <t xml:space="preserve">Non-stick Pan</t>
  </si>
  <si>
    <t xml:space="preserve">KIT-83519</t>
  </si>
  <si>
    <t xml:space="preserve">PRD-1043</t>
  </si>
  <si>
    <t xml:space="preserve">Knife Block Set</t>
  </si>
  <si>
    <t xml:space="preserve">KIT-86350</t>
  </si>
  <si>
    <t xml:space="preserve">PRD-1044</t>
  </si>
  <si>
    <t xml:space="preserve">Whiteboard Markers</t>
  </si>
  <si>
    <t xml:space="preserve">OFF-37535</t>
  </si>
  <si>
    <t xml:space="preserve">PRD-1045</t>
  </si>
  <si>
    <t xml:space="preserve">Sticky Notes (10pk)</t>
  </si>
  <si>
    <t xml:space="preserve">OFF-41029</t>
  </si>
  <si>
    <t xml:space="preserve">PRD-1046</t>
  </si>
  <si>
    <t xml:space="preserve">Measuring Tape</t>
  </si>
  <si>
    <t xml:space="preserve">TOO-97806</t>
  </si>
  <si>
    <t xml:space="preserve">PRD-1047</t>
  </si>
  <si>
    <t xml:space="preserve">Safety Gloves</t>
  </si>
  <si>
    <t xml:space="preserve">TOO-39154</t>
  </si>
  <si>
    <t xml:space="preserve">PRD-1048</t>
  </si>
  <si>
    <t xml:space="preserve">Puzzle 1000pc</t>
  </si>
  <si>
    <t xml:space="preserve">TOY-96511</t>
  </si>
  <si>
    <t xml:space="preserve">PRD-1049</t>
  </si>
  <si>
    <t xml:space="preserve">RC Car</t>
  </si>
  <si>
    <t xml:space="preserve">TOY-94080</t>
  </si>
  <si>
    <t xml:space="preserve">PRD-1050</t>
  </si>
  <si>
    <t xml:space="preserve">Building Blocks Set</t>
  </si>
  <si>
    <t xml:space="preserve">TOY-44237</t>
  </si>
  <si>
    <t xml:space="preserve">PRD-1051</t>
  </si>
  <si>
    <t xml:space="preserve">External SSD 1TB</t>
  </si>
  <si>
    <t xml:space="preserve">ELE-89457</t>
  </si>
  <si>
    <t xml:space="preserve">PRD-1052</t>
  </si>
  <si>
    <t xml:space="preserve">Graphics Tablet</t>
  </si>
  <si>
    <t xml:space="preserve">ELE-78146</t>
  </si>
  <si>
    <t xml:space="preserve">PRD-1053</t>
  </si>
  <si>
    <t xml:space="preserve">Cable Organizer</t>
  </si>
  <si>
    <t xml:space="preserve">OFF-96951</t>
  </si>
  <si>
    <t xml:space="preserve">PRD-1054</t>
  </si>
  <si>
    <t xml:space="preserve">Label Maker</t>
  </si>
  <si>
    <t xml:space="preserve">OFF-35144</t>
  </si>
  <si>
    <t xml:space="preserve">PRD-1055</t>
  </si>
  <si>
    <t xml:space="preserve">Kids' Art Kit</t>
  </si>
  <si>
    <t xml:space="preserve">TOY-81819</t>
  </si>
  <si>
    <t xml:space="preserve">PRD-1056</t>
  </si>
  <si>
    <t xml:space="preserve">Dumbbells 5kg</t>
  </si>
  <si>
    <t xml:space="preserve">SPO-67905</t>
  </si>
  <si>
    <t xml:space="preserve">PRD-1057</t>
  </si>
  <si>
    <t xml:space="preserve">Toaster Oven</t>
  </si>
  <si>
    <t xml:space="preserve">KIT-47196</t>
  </si>
  <si>
    <t xml:space="preserve">PRD-1058</t>
  </si>
  <si>
    <t xml:space="preserve">Microwave 20L</t>
  </si>
  <si>
    <t xml:space="preserve">KIT-36100</t>
  </si>
  <si>
    <t xml:space="preserve">PRD-1059</t>
  </si>
  <si>
    <t xml:space="preserve">Men's Formal Shirt</t>
  </si>
  <si>
    <t xml:space="preserve">CLO-64321</t>
  </si>
  <si>
    <t xml:space="preserve">PRD-1060</t>
  </si>
  <si>
    <t xml:space="preserve">Women's Sneakers</t>
  </si>
  <si>
    <t xml:space="preserve">CLO-23970</t>
  </si>
  <si>
    <t xml:space="preserve">PRD-1061</t>
  </si>
  <si>
    <t xml:space="preserve">Portable Fan</t>
  </si>
  <si>
    <t xml:space="preserve">ELE-25906</t>
  </si>
  <si>
    <t xml:space="preserve">PRD-1062</t>
  </si>
  <si>
    <t xml:space="preserve">Power Strip 6-Socket</t>
  </si>
  <si>
    <t xml:space="preserve">ELE-90301</t>
  </si>
  <si>
    <t xml:space="preserve">PRD-1063</t>
  </si>
  <si>
    <t xml:space="preserve">Step Ladder</t>
  </si>
  <si>
    <t xml:space="preserve">TOO-43972</t>
  </si>
  <si>
    <t xml:space="preserve">PRD-1064</t>
  </si>
  <si>
    <t xml:space="preserve">Paint Brush Set</t>
  </si>
  <si>
    <t xml:space="preserve">TOO-20155</t>
  </si>
  <si>
    <t xml:space="preserve">PRD-1065</t>
  </si>
  <si>
    <t xml:space="preserve">Lounge Chair</t>
  </si>
  <si>
    <t xml:space="preserve">FUR-29769</t>
  </si>
  <si>
    <t xml:space="preserve">PRD-1066</t>
  </si>
  <si>
    <t xml:space="preserve">Desk Organizer</t>
  </si>
  <si>
    <t xml:space="preserve">OFF-81121</t>
  </si>
  <si>
    <t xml:space="preserve">PRD-1067</t>
  </si>
  <si>
    <t xml:space="preserve">Skipping Rope</t>
  </si>
  <si>
    <t xml:space="preserve">SPO-72518</t>
  </si>
  <si>
    <t xml:space="preserve">PRD-1068</t>
  </si>
  <si>
    <t xml:space="preserve">Cutting Board</t>
  </si>
  <si>
    <t xml:space="preserve">KIT-73993</t>
  </si>
  <si>
    <t xml:space="preserve">PRD-1069</t>
  </si>
  <si>
    <t xml:space="preserve">Soft Toy Bunny</t>
  </si>
  <si>
    <t xml:space="preserve">TOY-71261</t>
  </si>
  <si>
    <t xml:space="preserve">PRD-1070</t>
  </si>
  <si>
    <t xml:space="preserve">Kids' Bicycle Helmet</t>
  </si>
  <si>
    <t xml:space="preserve">SPO-27786</t>
  </si>
  <si>
    <t xml:space="preserve">PRD-1071</t>
  </si>
  <si>
    <t xml:space="preserve">Mini Fridge</t>
  </si>
  <si>
    <t xml:space="preserve">ELE-59692</t>
  </si>
  <si>
    <t xml:space="preserve">PRD-1072</t>
  </si>
  <si>
    <t xml:space="preserve">Tablecloth Set</t>
  </si>
  <si>
    <t xml:space="preserve">FUR-39389</t>
  </si>
  <si>
    <t xml:space="preserve">Inventory Summary</t>
  </si>
  <si>
    <t xml:space="preserve">Metric</t>
  </si>
  <si>
    <t xml:space="preserve">Value</t>
  </si>
  <si>
    <t xml:space="preserve">Total Products</t>
  </si>
  <si>
    <t xml:space="preserve">Total Qty in Stock</t>
  </si>
  <si>
    <t xml:space="preserve">In Stock Items</t>
  </si>
  <si>
    <t xml:space="preserve">Low Stock Items</t>
  </si>
  <si>
    <t xml:space="preserve">Out of Stock Items</t>
  </si>
  <si>
    <t xml:space="preserve">Total Inventory Value (₹)</t>
  </si>
  <si>
    <t xml:space="preserve">Avg Unit Price (₹)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</si>
</sst>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2E4057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0F4F8"/>
        <bgColor rgb="FFFFFFFF"/>
      </patternFill>
    </fill>
    <fill>
      <patternFill patternType="solid">
        <fgColor rgb="FFFFF3CD"/>
        <bgColor rgb="FFF0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4057"/>
          <bgColor rgb="FF000000"/>
        </patternFill>
      </fill>
    </dxf>
    <dxf>
      <fill>
        <patternFill patternType="solid">
          <fgColor rgb="FFF0F4F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11" min="9" style="0" width="14"/>
    <col collapsed="false" customWidth="true" hidden="false" outlineLevel="0" max="12" min="12" style="0" width="16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s">
        <v>14</v>
      </c>
      <c r="C2" s="2" t="s">
        <v>15</v>
      </c>
      <c r="D2" s="2" t="s">
        <v>16</v>
      </c>
      <c r="E2" s="3" t="s">
        <v>17</v>
      </c>
      <c r="F2" s="3" t="s">
        <v>18</v>
      </c>
      <c r="G2" s="2" t="n">
        <v>11174.95</v>
      </c>
      <c r="H2" s="2" t="n">
        <v>6271.64</v>
      </c>
      <c r="I2" s="2" t="n">
        <v>71</v>
      </c>
      <c r="J2" s="2" t="n">
        <v>67</v>
      </c>
      <c r="K2" s="2" t="s">
        <v>19</v>
      </c>
      <c r="L2" s="2" t="s">
        <v>20</v>
      </c>
      <c r="M2" s="2" t="s">
        <v>21</v>
      </c>
    </row>
    <row r="3" customFormat="false" ht="15" hidden="false" customHeight="false" outlineLevel="0" collapsed="false">
      <c r="A3" s="4" t="s">
        <v>22</v>
      </c>
      <c r="B3" s="5" t="s">
        <v>23</v>
      </c>
      <c r="C3" s="4" t="s">
        <v>15</v>
      </c>
      <c r="D3" s="4" t="s">
        <v>24</v>
      </c>
      <c r="E3" s="5" t="s">
        <v>25</v>
      </c>
      <c r="F3" s="5" t="s">
        <v>18</v>
      </c>
      <c r="G3" s="4" t="n">
        <v>641</v>
      </c>
      <c r="H3" s="4" t="n">
        <v>355.54</v>
      </c>
      <c r="I3" s="4" t="n">
        <v>258</v>
      </c>
      <c r="J3" s="4" t="n">
        <v>58</v>
      </c>
      <c r="K3" s="4" t="s">
        <v>19</v>
      </c>
      <c r="L3" s="4" t="s">
        <v>26</v>
      </c>
      <c r="M3" s="4" t="s">
        <v>27</v>
      </c>
    </row>
    <row r="4" customFormat="false" ht="15" hidden="false" customHeight="false" outlineLevel="0" collapsed="false">
      <c r="A4" s="2" t="s">
        <v>28</v>
      </c>
      <c r="B4" s="3" t="s">
        <v>29</v>
      </c>
      <c r="C4" s="2" t="s">
        <v>30</v>
      </c>
      <c r="D4" s="2" t="s">
        <v>31</v>
      </c>
      <c r="E4" s="3" t="s">
        <v>32</v>
      </c>
      <c r="F4" s="3" t="s">
        <v>33</v>
      </c>
      <c r="G4" s="2" t="n">
        <v>3462.52</v>
      </c>
      <c r="H4" s="2" t="n">
        <v>2241.35</v>
      </c>
      <c r="I4" s="2" t="n">
        <v>414</v>
      </c>
      <c r="J4" s="2" t="n">
        <v>75</v>
      </c>
      <c r="K4" s="2" t="s">
        <v>19</v>
      </c>
      <c r="L4" s="2" t="s">
        <v>26</v>
      </c>
      <c r="M4" s="2" t="s">
        <v>34</v>
      </c>
    </row>
    <row r="5" customFormat="false" ht="15" hidden="false" customHeight="false" outlineLevel="0" collapsed="false">
      <c r="A5" s="4" t="s">
        <v>35</v>
      </c>
      <c r="B5" s="5" t="s">
        <v>36</v>
      </c>
      <c r="C5" s="4" t="s">
        <v>30</v>
      </c>
      <c r="D5" s="4" t="s">
        <v>37</v>
      </c>
      <c r="E5" s="5" t="s">
        <v>38</v>
      </c>
      <c r="F5" s="5" t="s">
        <v>39</v>
      </c>
      <c r="G5" s="4" t="n">
        <v>2501.1</v>
      </c>
      <c r="H5" s="4" t="n">
        <v>1849.07</v>
      </c>
      <c r="I5" s="4" t="n">
        <v>172</v>
      </c>
      <c r="J5" s="4" t="n">
        <v>26</v>
      </c>
      <c r="K5" s="4" t="s">
        <v>19</v>
      </c>
      <c r="L5" s="4" t="s">
        <v>20</v>
      </c>
      <c r="M5" s="4" t="s">
        <v>34</v>
      </c>
    </row>
    <row r="6" customFormat="false" ht="15" hidden="false" customHeight="false" outlineLevel="0" collapsed="false">
      <c r="A6" s="2" t="s">
        <v>40</v>
      </c>
      <c r="B6" s="3" t="s">
        <v>41</v>
      </c>
      <c r="C6" s="2" t="s">
        <v>30</v>
      </c>
      <c r="D6" s="2" t="s">
        <v>42</v>
      </c>
      <c r="E6" s="3" t="s">
        <v>38</v>
      </c>
      <c r="F6" s="3" t="s">
        <v>39</v>
      </c>
      <c r="G6" s="2" t="n">
        <v>9135.15</v>
      </c>
      <c r="H6" s="2" t="n">
        <v>6410.88</v>
      </c>
      <c r="I6" s="2" t="n">
        <v>373</v>
      </c>
      <c r="J6" s="2" t="n">
        <v>49</v>
      </c>
      <c r="K6" s="2" t="s">
        <v>19</v>
      </c>
      <c r="L6" s="2" t="s">
        <v>20</v>
      </c>
      <c r="M6" s="2" t="s">
        <v>34</v>
      </c>
    </row>
    <row r="7" customFormat="false" ht="15" hidden="false" customHeight="false" outlineLevel="0" collapsed="false">
      <c r="A7" s="4" t="s">
        <v>43</v>
      </c>
      <c r="B7" s="5" t="s">
        <v>44</v>
      </c>
      <c r="C7" s="4" t="s">
        <v>45</v>
      </c>
      <c r="D7" s="4" t="s">
        <v>46</v>
      </c>
      <c r="E7" s="5" t="s">
        <v>47</v>
      </c>
      <c r="F7" s="5" t="s">
        <v>39</v>
      </c>
      <c r="G7" s="4" t="n">
        <v>12475.19</v>
      </c>
      <c r="H7" s="4" t="n">
        <v>8166.63</v>
      </c>
      <c r="I7" s="4" t="n">
        <v>441</v>
      </c>
      <c r="J7" s="4" t="n">
        <v>43</v>
      </c>
      <c r="K7" s="4" t="s">
        <v>19</v>
      </c>
      <c r="L7" s="4" t="s">
        <v>48</v>
      </c>
      <c r="M7" s="4" t="s">
        <v>21</v>
      </c>
    </row>
    <row r="8" customFormat="false" ht="15" hidden="false" customHeight="false" outlineLevel="0" collapsed="false">
      <c r="A8" s="2" t="s">
        <v>49</v>
      </c>
      <c r="B8" s="3" t="s">
        <v>50</v>
      </c>
      <c r="C8" s="2" t="s">
        <v>51</v>
      </c>
      <c r="D8" s="2" t="s">
        <v>52</v>
      </c>
      <c r="E8" s="3" t="s">
        <v>32</v>
      </c>
      <c r="F8" s="3" t="s">
        <v>53</v>
      </c>
      <c r="G8" s="2" t="n">
        <v>11641.41</v>
      </c>
      <c r="H8" s="2" t="n">
        <v>8688.05</v>
      </c>
      <c r="I8" s="2" t="n">
        <v>437</v>
      </c>
      <c r="J8" s="2" t="n">
        <v>34</v>
      </c>
      <c r="K8" s="2" t="s">
        <v>19</v>
      </c>
      <c r="L8" s="2" t="s">
        <v>20</v>
      </c>
      <c r="M8" s="2" t="s">
        <v>34</v>
      </c>
    </row>
    <row r="9" customFormat="false" ht="15" hidden="false" customHeight="false" outlineLevel="0" collapsed="false">
      <c r="A9" s="4" t="s">
        <v>54</v>
      </c>
      <c r="B9" s="5" t="s">
        <v>55</v>
      </c>
      <c r="C9" s="4" t="s">
        <v>51</v>
      </c>
      <c r="D9" s="4" t="s">
        <v>56</v>
      </c>
      <c r="E9" s="5" t="s">
        <v>25</v>
      </c>
      <c r="F9" s="5" t="s">
        <v>39</v>
      </c>
      <c r="G9" s="4" t="n">
        <v>2607.28</v>
      </c>
      <c r="H9" s="4" t="n">
        <v>1535.21</v>
      </c>
      <c r="I9" s="4" t="n">
        <v>343</v>
      </c>
      <c r="J9" s="4" t="n">
        <v>37</v>
      </c>
      <c r="K9" s="4" t="s">
        <v>19</v>
      </c>
      <c r="L9" s="4" t="s">
        <v>20</v>
      </c>
      <c r="M9" s="4" t="s">
        <v>34</v>
      </c>
    </row>
    <row r="10" customFormat="false" ht="15" hidden="false" customHeight="false" outlineLevel="0" collapsed="false">
      <c r="A10" s="2" t="s">
        <v>57</v>
      </c>
      <c r="B10" s="3" t="s">
        <v>58</v>
      </c>
      <c r="C10" s="2" t="s">
        <v>59</v>
      </c>
      <c r="D10" s="2" t="s">
        <v>60</v>
      </c>
      <c r="E10" s="3" t="s">
        <v>32</v>
      </c>
      <c r="F10" s="3" t="s">
        <v>53</v>
      </c>
      <c r="G10" s="2" t="n">
        <v>2618.36</v>
      </c>
      <c r="H10" s="2" t="n">
        <v>1557.57</v>
      </c>
      <c r="I10" s="2" t="n">
        <v>473</v>
      </c>
      <c r="J10" s="2" t="n">
        <v>60</v>
      </c>
      <c r="K10" s="2" t="s">
        <v>19</v>
      </c>
      <c r="L10" s="2" t="s">
        <v>48</v>
      </c>
      <c r="M10" s="2" t="s">
        <v>34</v>
      </c>
    </row>
    <row r="11" customFormat="false" ht="15" hidden="false" customHeight="false" outlineLevel="0" collapsed="false">
      <c r="A11" s="6" t="s">
        <v>61</v>
      </c>
      <c r="B11" s="7" t="s">
        <v>62</v>
      </c>
      <c r="C11" s="6" t="s">
        <v>59</v>
      </c>
      <c r="D11" s="6" t="s">
        <v>63</v>
      </c>
      <c r="E11" s="7" t="s">
        <v>64</v>
      </c>
      <c r="F11" s="7" t="s">
        <v>18</v>
      </c>
      <c r="G11" s="6" t="n">
        <v>12114.68</v>
      </c>
      <c r="H11" s="6" t="n">
        <v>7272.34</v>
      </c>
      <c r="I11" s="6" t="n">
        <v>33</v>
      </c>
      <c r="J11" s="6" t="n">
        <v>33</v>
      </c>
      <c r="K11" s="6" t="s">
        <v>65</v>
      </c>
      <c r="L11" s="6" t="s">
        <v>66</v>
      </c>
      <c r="M11" s="6" t="s">
        <v>27</v>
      </c>
    </row>
    <row r="12" customFormat="false" ht="15" hidden="false" customHeight="false" outlineLevel="0" collapsed="false">
      <c r="A12" s="2" t="s">
        <v>67</v>
      </c>
      <c r="B12" s="3" t="s">
        <v>68</v>
      </c>
      <c r="C12" s="2" t="s">
        <v>69</v>
      </c>
      <c r="D12" s="2" t="s">
        <v>70</v>
      </c>
      <c r="E12" s="3" t="s">
        <v>25</v>
      </c>
      <c r="F12" s="3" t="s">
        <v>33</v>
      </c>
      <c r="G12" s="2" t="n">
        <v>13293.31</v>
      </c>
      <c r="H12" s="2" t="n">
        <v>8783.06</v>
      </c>
      <c r="I12" s="2" t="n">
        <v>73</v>
      </c>
      <c r="J12" s="2" t="n">
        <v>36</v>
      </c>
      <c r="K12" s="2" t="s">
        <v>19</v>
      </c>
      <c r="L12" s="2" t="s">
        <v>71</v>
      </c>
      <c r="M12" s="2" t="s">
        <v>27</v>
      </c>
    </row>
    <row r="13" customFormat="false" ht="15" hidden="false" customHeight="false" outlineLevel="0" collapsed="false">
      <c r="A13" s="4" t="s">
        <v>72</v>
      </c>
      <c r="B13" s="5" t="s">
        <v>73</v>
      </c>
      <c r="C13" s="4" t="s">
        <v>69</v>
      </c>
      <c r="D13" s="4" t="s">
        <v>74</v>
      </c>
      <c r="E13" s="5" t="s">
        <v>47</v>
      </c>
      <c r="F13" s="5" t="s">
        <v>39</v>
      </c>
      <c r="G13" s="4" t="n">
        <v>11255.8</v>
      </c>
      <c r="H13" s="4" t="n">
        <v>6833.49</v>
      </c>
      <c r="I13" s="4" t="n">
        <v>298</v>
      </c>
      <c r="J13" s="4" t="n">
        <v>45</v>
      </c>
      <c r="K13" s="4" t="s">
        <v>19</v>
      </c>
      <c r="L13" s="4" t="s">
        <v>66</v>
      </c>
      <c r="M13" s="4" t="s">
        <v>27</v>
      </c>
    </row>
    <row r="14" customFormat="false" ht="15" hidden="false" customHeight="false" outlineLevel="0" collapsed="false">
      <c r="A14" s="2" t="s">
        <v>75</v>
      </c>
      <c r="B14" s="3" t="s">
        <v>76</v>
      </c>
      <c r="C14" s="2" t="s">
        <v>69</v>
      </c>
      <c r="D14" s="2" t="s">
        <v>77</v>
      </c>
      <c r="E14" s="3" t="s">
        <v>47</v>
      </c>
      <c r="F14" s="3" t="s">
        <v>33</v>
      </c>
      <c r="G14" s="2" t="n">
        <v>1545.46</v>
      </c>
      <c r="H14" s="2" t="n">
        <v>790.93</v>
      </c>
      <c r="I14" s="2" t="n">
        <v>56</v>
      </c>
      <c r="J14" s="2" t="n">
        <v>29</v>
      </c>
      <c r="K14" s="2" t="s">
        <v>19</v>
      </c>
      <c r="L14" s="2" t="s">
        <v>71</v>
      </c>
      <c r="M14" s="2" t="s">
        <v>34</v>
      </c>
    </row>
    <row r="15" customFormat="false" ht="15" hidden="false" customHeight="false" outlineLevel="0" collapsed="false">
      <c r="A15" s="4" t="s">
        <v>78</v>
      </c>
      <c r="B15" s="5" t="s">
        <v>79</v>
      </c>
      <c r="C15" s="4" t="s">
        <v>80</v>
      </c>
      <c r="D15" s="4" t="s">
        <v>81</v>
      </c>
      <c r="E15" s="5" t="s">
        <v>17</v>
      </c>
      <c r="F15" s="5" t="s">
        <v>33</v>
      </c>
      <c r="G15" s="4" t="n">
        <v>5847.97</v>
      </c>
      <c r="H15" s="4" t="n">
        <v>4380.31</v>
      </c>
      <c r="I15" s="4" t="n">
        <v>270</v>
      </c>
      <c r="J15" s="4" t="n">
        <v>36</v>
      </c>
      <c r="K15" s="4" t="s">
        <v>19</v>
      </c>
      <c r="L15" s="4" t="s">
        <v>26</v>
      </c>
      <c r="M15" s="4" t="s">
        <v>21</v>
      </c>
    </row>
    <row r="16" customFormat="false" ht="15" hidden="false" customHeight="false" outlineLevel="0" collapsed="false">
      <c r="A16" s="2" t="s">
        <v>82</v>
      </c>
      <c r="B16" s="3" t="s">
        <v>83</v>
      </c>
      <c r="C16" s="2" t="s">
        <v>80</v>
      </c>
      <c r="D16" s="2" t="s">
        <v>84</v>
      </c>
      <c r="E16" s="3" t="s">
        <v>47</v>
      </c>
      <c r="F16" s="3" t="s">
        <v>39</v>
      </c>
      <c r="G16" s="2" t="n">
        <v>11575.26</v>
      </c>
      <c r="H16" s="2" t="n">
        <v>6772.03</v>
      </c>
      <c r="I16" s="2" t="n">
        <v>150</v>
      </c>
      <c r="J16" s="2" t="n">
        <v>47</v>
      </c>
      <c r="K16" s="2" t="s">
        <v>19</v>
      </c>
      <c r="L16" s="2" t="s">
        <v>71</v>
      </c>
      <c r="M16" s="2" t="s">
        <v>85</v>
      </c>
    </row>
    <row r="17" customFormat="false" ht="15" hidden="false" customHeight="false" outlineLevel="0" collapsed="false">
      <c r="A17" s="4" t="s">
        <v>86</v>
      </c>
      <c r="B17" s="5" t="s">
        <v>87</v>
      </c>
      <c r="C17" s="4" t="s">
        <v>15</v>
      </c>
      <c r="D17" s="4" t="s">
        <v>88</v>
      </c>
      <c r="E17" s="5" t="s">
        <v>32</v>
      </c>
      <c r="F17" s="5" t="s">
        <v>39</v>
      </c>
      <c r="G17" s="4" t="n">
        <v>14583.94</v>
      </c>
      <c r="H17" s="4" t="n">
        <v>10070.07</v>
      </c>
      <c r="I17" s="4" t="n">
        <v>259</v>
      </c>
      <c r="J17" s="4" t="n">
        <v>78</v>
      </c>
      <c r="K17" s="4" t="s">
        <v>19</v>
      </c>
      <c r="L17" s="4" t="s">
        <v>20</v>
      </c>
      <c r="M17" s="4" t="s">
        <v>89</v>
      </c>
    </row>
    <row r="18" customFormat="false" ht="15" hidden="false" customHeight="false" outlineLevel="0" collapsed="false">
      <c r="A18" s="2" t="s">
        <v>90</v>
      </c>
      <c r="B18" s="3" t="s">
        <v>91</v>
      </c>
      <c r="C18" s="2" t="s">
        <v>15</v>
      </c>
      <c r="D18" s="2" t="s">
        <v>92</v>
      </c>
      <c r="E18" s="3" t="s">
        <v>47</v>
      </c>
      <c r="F18" s="3" t="s">
        <v>53</v>
      </c>
      <c r="G18" s="2" t="n">
        <v>2462.02</v>
      </c>
      <c r="H18" s="2" t="n">
        <v>1700.34</v>
      </c>
      <c r="I18" s="2" t="n">
        <v>276</v>
      </c>
      <c r="J18" s="2" t="n">
        <v>69</v>
      </c>
      <c r="K18" s="2" t="s">
        <v>19</v>
      </c>
      <c r="L18" s="2" t="s">
        <v>26</v>
      </c>
      <c r="M18" s="2" t="s">
        <v>34</v>
      </c>
    </row>
    <row r="19" customFormat="false" ht="15" hidden="false" customHeight="false" outlineLevel="0" collapsed="false">
      <c r="A19" s="4" t="s">
        <v>93</v>
      </c>
      <c r="B19" s="5" t="s">
        <v>94</v>
      </c>
      <c r="C19" s="4" t="s">
        <v>15</v>
      </c>
      <c r="D19" s="4" t="s">
        <v>95</v>
      </c>
      <c r="E19" s="5" t="s">
        <v>17</v>
      </c>
      <c r="F19" s="5" t="s">
        <v>18</v>
      </c>
      <c r="G19" s="4" t="n">
        <v>13950.66</v>
      </c>
      <c r="H19" s="4" t="n">
        <v>10040.02</v>
      </c>
      <c r="I19" s="4" t="n">
        <v>425</v>
      </c>
      <c r="J19" s="4" t="n">
        <v>71</v>
      </c>
      <c r="K19" s="4" t="s">
        <v>19</v>
      </c>
      <c r="L19" s="4" t="s">
        <v>96</v>
      </c>
      <c r="M19" s="4" t="s">
        <v>27</v>
      </c>
    </row>
    <row r="20" customFormat="false" ht="15" hidden="false" customHeight="false" outlineLevel="0" collapsed="false">
      <c r="A20" s="6" t="s">
        <v>97</v>
      </c>
      <c r="B20" s="7" t="s">
        <v>98</v>
      </c>
      <c r="C20" s="6" t="s">
        <v>30</v>
      </c>
      <c r="D20" s="6" t="s">
        <v>99</v>
      </c>
      <c r="E20" s="7" t="s">
        <v>64</v>
      </c>
      <c r="F20" s="7" t="s">
        <v>18</v>
      </c>
      <c r="G20" s="6" t="n">
        <v>1467.67</v>
      </c>
      <c r="H20" s="6" t="n">
        <v>912.15</v>
      </c>
      <c r="I20" s="6" t="n">
        <v>35</v>
      </c>
      <c r="J20" s="6" t="n">
        <v>68</v>
      </c>
      <c r="K20" s="6" t="s">
        <v>65</v>
      </c>
      <c r="L20" s="6" t="s">
        <v>71</v>
      </c>
      <c r="M20" s="6" t="s">
        <v>34</v>
      </c>
    </row>
    <row r="21" customFormat="false" ht="15" hidden="false" customHeight="false" outlineLevel="0" collapsed="false">
      <c r="A21" s="4" t="s">
        <v>100</v>
      </c>
      <c r="B21" s="5" t="s">
        <v>101</v>
      </c>
      <c r="C21" s="4" t="s">
        <v>30</v>
      </c>
      <c r="D21" s="4" t="s">
        <v>102</v>
      </c>
      <c r="E21" s="5" t="s">
        <v>25</v>
      </c>
      <c r="F21" s="5" t="s">
        <v>53</v>
      </c>
      <c r="G21" s="4" t="n">
        <v>4122.84</v>
      </c>
      <c r="H21" s="4" t="n">
        <v>2960.65</v>
      </c>
      <c r="I21" s="4" t="n">
        <v>216</v>
      </c>
      <c r="J21" s="4" t="n">
        <v>33</v>
      </c>
      <c r="K21" s="4" t="s">
        <v>19</v>
      </c>
      <c r="L21" s="4" t="s">
        <v>48</v>
      </c>
      <c r="M21" s="4" t="s">
        <v>89</v>
      </c>
    </row>
    <row r="22" customFormat="false" ht="15" hidden="false" customHeight="false" outlineLevel="0" collapsed="false">
      <c r="A22" s="2" t="s">
        <v>103</v>
      </c>
      <c r="B22" s="3" t="s">
        <v>104</v>
      </c>
      <c r="C22" s="2" t="s">
        <v>45</v>
      </c>
      <c r="D22" s="2" t="s">
        <v>105</v>
      </c>
      <c r="E22" s="3" t="s">
        <v>32</v>
      </c>
      <c r="F22" s="3" t="s">
        <v>39</v>
      </c>
      <c r="G22" s="2" t="n">
        <v>6683.88</v>
      </c>
      <c r="H22" s="2" t="n">
        <v>4206.79</v>
      </c>
      <c r="I22" s="2" t="n">
        <v>61</v>
      </c>
      <c r="J22" s="2" t="n">
        <v>35</v>
      </c>
      <c r="K22" s="2" t="s">
        <v>19</v>
      </c>
      <c r="L22" s="2" t="s">
        <v>48</v>
      </c>
      <c r="M22" s="2" t="s">
        <v>21</v>
      </c>
    </row>
    <row r="23" customFormat="false" ht="15" hidden="false" customHeight="false" outlineLevel="0" collapsed="false">
      <c r="A23" s="4" t="s">
        <v>106</v>
      </c>
      <c r="B23" s="5" t="s">
        <v>107</v>
      </c>
      <c r="C23" s="4" t="s">
        <v>51</v>
      </c>
      <c r="D23" s="4" t="s">
        <v>108</v>
      </c>
      <c r="E23" s="5" t="s">
        <v>17</v>
      </c>
      <c r="F23" s="5" t="s">
        <v>53</v>
      </c>
      <c r="G23" s="4" t="n">
        <v>8908.91</v>
      </c>
      <c r="H23" s="4" t="n">
        <v>4470.47</v>
      </c>
      <c r="I23" s="4" t="n">
        <v>362</v>
      </c>
      <c r="J23" s="4" t="n">
        <v>60</v>
      </c>
      <c r="K23" s="4" t="s">
        <v>19</v>
      </c>
      <c r="L23" s="4" t="s">
        <v>26</v>
      </c>
      <c r="M23" s="4" t="s">
        <v>27</v>
      </c>
    </row>
    <row r="24" customFormat="false" ht="15" hidden="false" customHeight="false" outlineLevel="0" collapsed="false">
      <c r="A24" s="2" t="s">
        <v>109</v>
      </c>
      <c r="B24" s="3" t="s">
        <v>110</v>
      </c>
      <c r="C24" s="2" t="s">
        <v>51</v>
      </c>
      <c r="D24" s="2" t="s">
        <v>111</v>
      </c>
      <c r="E24" s="3" t="s">
        <v>17</v>
      </c>
      <c r="F24" s="3" t="s">
        <v>39</v>
      </c>
      <c r="G24" s="2" t="n">
        <v>1248.69</v>
      </c>
      <c r="H24" s="2" t="n">
        <v>698.64</v>
      </c>
      <c r="I24" s="2" t="n">
        <v>342</v>
      </c>
      <c r="J24" s="2" t="n">
        <v>51</v>
      </c>
      <c r="K24" s="2" t="s">
        <v>19</v>
      </c>
      <c r="L24" s="2" t="s">
        <v>48</v>
      </c>
      <c r="M24" s="2" t="s">
        <v>34</v>
      </c>
    </row>
    <row r="25" customFormat="false" ht="15" hidden="false" customHeight="false" outlineLevel="0" collapsed="false">
      <c r="A25" s="4" t="s">
        <v>112</v>
      </c>
      <c r="B25" s="5" t="s">
        <v>113</v>
      </c>
      <c r="C25" s="4" t="s">
        <v>59</v>
      </c>
      <c r="D25" s="4" t="s">
        <v>114</v>
      </c>
      <c r="E25" s="5" t="s">
        <v>47</v>
      </c>
      <c r="F25" s="5" t="s">
        <v>33</v>
      </c>
      <c r="G25" s="4" t="n">
        <v>3796.36</v>
      </c>
      <c r="H25" s="4" t="n">
        <v>2347.07</v>
      </c>
      <c r="I25" s="4" t="n">
        <v>208</v>
      </c>
      <c r="J25" s="4" t="n">
        <v>32</v>
      </c>
      <c r="K25" s="4" t="s">
        <v>19</v>
      </c>
      <c r="L25" s="4" t="s">
        <v>20</v>
      </c>
      <c r="M25" s="4" t="s">
        <v>21</v>
      </c>
    </row>
    <row r="26" customFormat="false" ht="15" hidden="false" customHeight="false" outlineLevel="0" collapsed="false">
      <c r="A26" s="2" t="s">
        <v>115</v>
      </c>
      <c r="B26" s="3" t="s">
        <v>116</v>
      </c>
      <c r="C26" s="2" t="s">
        <v>59</v>
      </c>
      <c r="D26" s="2" t="s">
        <v>117</v>
      </c>
      <c r="E26" s="3" t="s">
        <v>25</v>
      </c>
      <c r="F26" s="3" t="s">
        <v>39</v>
      </c>
      <c r="G26" s="2" t="n">
        <v>6468.96</v>
      </c>
      <c r="H26" s="2" t="n">
        <v>3989.77</v>
      </c>
      <c r="I26" s="2" t="n">
        <v>373</v>
      </c>
      <c r="J26" s="2" t="n">
        <v>23</v>
      </c>
      <c r="K26" s="2" t="s">
        <v>19</v>
      </c>
      <c r="L26" s="2" t="s">
        <v>20</v>
      </c>
      <c r="M26" s="2" t="s">
        <v>118</v>
      </c>
    </row>
    <row r="27" customFormat="false" ht="15" hidden="false" customHeight="false" outlineLevel="0" collapsed="false">
      <c r="A27" s="4" t="s">
        <v>119</v>
      </c>
      <c r="B27" s="5" t="s">
        <v>120</v>
      </c>
      <c r="C27" s="4" t="s">
        <v>69</v>
      </c>
      <c r="D27" s="4" t="s">
        <v>121</v>
      </c>
      <c r="E27" s="5" t="s">
        <v>32</v>
      </c>
      <c r="F27" s="5" t="s">
        <v>39</v>
      </c>
      <c r="G27" s="4" t="n">
        <v>12048.77</v>
      </c>
      <c r="H27" s="4" t="n">
        <v>6353.52</v>
      </c>
      <c r="I27" s="4" t="n">
        <v>98</v>
      </c>
      <c r="J27" s="4" t="n">
        <v>32</v>
      </c>
      <c r="K27" s="4" t="s">
        <v>19</v>
      </c>
      <c r="L27" s="4" t="s">
        <v>122</v>
      </c>
      <c r="M27" s="4" t="s">
        <v>34</v>
      </c>
    </row>
    <row r="28" customFormat="false" ht="15" hidden="false" customHeight="false" outlineLevel="0" collapsed="false">
      <c r="A28" s="6" t="s">
        <v>123</v>
      </c>
      <c r="B28" s="7" t="s">
        <v>124</v>
      </c>
      <c r="C28" s="6" t="s">
        <v>69</v>
      </c>
      <c r="D28" s="6" t="s">
        <v>125</v>
      </c>
      <c r="E28" s="7" t="s">
        <v>64</v>
      </c>
      <c r="F28" s="7" t="s">
        <v>39</v>
      </c>
      <c r="G28" s="6" t="n">
        <v>7046.9</v>
      </c>
      <c r="H28" s="6" t="n">
        <v>5064.05</v>
      </c>
      <c r="I28" s="6" t="n">
        <v>38</v>
      </c>
      <c r="J28" s="6" t="n">
        <v>48</v>
      </c>
      <c r="K28" s="6" t="s">
        <v>65</v>
      </c>
      <c r="L28" s="6" t="s">
        <v>20</v>
      </c>
      <c r="M28" s="6" t="s">
        <v>118</v>
      </c>
    </row>
    <row r="29" customFormat="false" ht="15" hidden="false" customHeight="false" outlineLevel="0" collapsed="false">
      <c r="A29" s="4" t="s">
        <v>126</v>
      </c>
      <c r="B29" s="5" t="s">
        <v>127</v>
      </c>
      <c r="C29" s="4" t="s">
        <v>80</v>
      </c>
      <c r="D29" s="4" t="s">
        <v>128</v>
      </c>
      <c r="E29" s="5" t="s">
        <v>47</v>
      </c>
      <c r="F29" s="5" t="s">
        <v>18</v>
      </c>
      <c r="G29" s="4" t="n">
        <v>14541.14</v>
      </c>
      <c r="H29" s="4" t="n">
        <v>10638.18</v>
      </c>
      <c r="I29" s="4" t="n">
        <v>434</v>
      </c>
      <c r="J29" s="4" t="n">
        <v>35</v>
      </c>
      <c r="K29" s="4" t="s">
        <v>19</v>
      </c>
      <c r="L29" s="4" t="s">
        <v>71</v>
      </c>
      <c r="M29" s="4" t="s">
        <v>34</v>
      </c>
    </row>
    <row r="30" customFormat="false" ht="15" hidden="false" customHeight="false" outlineLevel="0" collapsed="false">
      <c r="A30" s="2" t="s">
        <v>129</v>
      </c>
      <c r="B30" s="3" t="s">
        <v>130</v>
      </c>
      <c r="C30" s="2" t="s">
        <v>80</v>
      </c>
      <c r="D30" s="2" t="s">
        <v>131</v>
      </c>
      <c r="E30" s="3" t="s">
        <v>25</v>
      </c>
      <c r="F30" s="3" t="s">
        <v>53</v>
      </c>
      <c r="G30" s="2" t="n">
        <v>12996.83</v>
      </c>
      <c r="H30" s="2" t="n">
        <v>9430.64</v>
      </c>
      <c r="I30" s="2" t="n">
        <v>84</v>
      </c>
      <c r="J30" s="2" t="n">
        <v>44</v>
      </c>
      <c r="K30" s="2" t="s">
        <v>19</v>
      </c>
      <c r="L30" s="2" t="s">
        <v>26</v>
      </c>
      <c r="M30" s="2" t="s">
        <v>34</v>
      </c>
    </row>
    <row r="31" customFormat="false" ht="15" hidden="false" customHeight="false" outlineLevel="0" collapsed="false">
      <c r="A31" s="4" t="s">
        <v>132</v>
      </c>
      <c r="B31" s="5" t="s">
        <v>133</v>
      </c>
      <c r="C31" s="4" t="s">
        <v>134</v>
      </c>
      <c r="D31" s="4" t="s">
        <v>135</v>
      </c>
      <c r="E31" s="5" t="s">
        <v>25</v>
      </c>
      <c r="F31" s="5" t="s">
        <v>39</v>
      </c>
      <c r="G31" s="4" t="n">
        <v>6460.51</v>
      </c>
      <c r="H31" s="4" t="n">
        <v>4776.45</v>
      </c>
      <c r="I31" s="4" t="n">
        <v>401</v>
      </c>
      <c r="J31" s="4" t="n">
        <v>55</v>
      </c>
      <c r="K31" s="4" t="s">
        <v>19</v>
      </c>
      <c r="L31" s="4" t="s">
        <v>122</v>
      </c>
      <c r="M31" s="4" t="s">
        <v>34</v>
      </c>
    </row>
    <row r="32" customFormat="false" ht="15" hidden="false" customHeight="false" outlineLevel="0" collapsed="false">
      <c r="A32" s="2" t="s">
        <v>136</v>
      </c>
      <c r="B32" s="3" t="s">
        <v>137</v>
      </c>
      <c r="C32" s="2" t="s">
        <v>134</v>
      </c>
      <c r="D32" s="2" t="s">
        <v>138</v>
      </c>
      <c r="E32" s="3" t="s">
        <v>38</v>
      </c>
      <c r="F32" s="3" t="s">
        <v>53</v>
      </c>
      <c r="G32" s="2" t="n">
        <v>14536.9</v>
      </c>
      <c r="H32" s="2" t="n">
        <v>9373.32</v>
      </c>
      <c r="I32" s="2" t="n">
        <v>277</v>
      </c>
      <c r="J32" s="2" t="n">
        <v>23</v>
      </c>
      <c r="K32" s="2" t="s">
        <v>19</v>
      </c>
      <c r="L32" s="2" t="s">
        <v>66</v>
      </c>
      <c r="M32" s="2" t="s">
        <v>118</v>
      </c>
    </row>
    <row r="33" customFormat="false" ht="15" hidden="false" customHeight="false" outlineLevel="0" collapsed="false">
      <c r="A33" s="4" t="s">
        <v>139</v>
      </c>
      <c r="B33" s="5" t="s">
        <v>140</v>
      </c>
      <c r="C33" s="4" t="s">
        <v>15</v>
      </c>
      <c r="D33" s="4" t="s">
        <v>141</v>
      </c>
      <c r="E33" s="5" t="s">
        <v>47</v>
      </c>
      <c r="F33" s="5" t="s">
        <v>33</v>
      </c>
      <c r="G33" s="4" t="n">
        <v>7642.19</v>
      </c>
      <c r="H33" s="4" t="n">
        <v>5450.26</v>
      </c>
      <c r="I33" s="4" t="n">
        <v>80</v>
      </c>
      <c r="J33" s="4" t="n">
        <v>23</v>
      </c>
      <c r="K33" s="4" t="s">
        <v>19</v>
      </c>
      <c r="L33" s="4" t="s">
        <v>20</v>
      </c>
      <c r="M33" s="4" t="s">
        <v>34</v>
      </c>
    </row>
    <row r="34" customFormat="false" ht="15" hidden="false" customHeight="false" outlineLevel="0" collapsed="false">
      <c r="A34" s="6" t="s">
        <v>142</v>
      </c>
      <c r="B34" s="7" t="s">
        <v>143</v>
      </c>
      <c r="C34" s="6" t="s">
        <v>15</v>
      </c>
      <c r="D34" s="6" t="s">
        <v>144</v>
      </c>
      <c r="E34" s="7" t="s">
        <v>47</v>
      </c>
      <c r="F34" s="7" t="s">
        <v>18</v>
      </c>
      <c r="G34" s="6" t="n">
        <v>10193.15</v>
      </c>
      <c r="H34" s="6" t="n">
        <v>5695.94</v>
      </c>
      <c r="I34" s="6" t="n">
        <v>61</v>
      </c>
      <c r="J34" s="6" t="n">
        <v>80</v>
      </c>
      <c r="K34" s="6" t="s">
        <v>65</v>
      </c>
      <c r="L34" s="6" t="s">
        <v>48</v>
      </c>
      <c r="M34" s="6" t="s">
        <v>118</v>
      </c>
    </row>
    <row r="35" customFormat="false" ht="15" hidden="false" customHeight="false" outlineLevel="0" collapsed="false">
      <c r="A35" s="4" t="s">
        <v>145</v>
      </c>
      <c r="B35" s="5" t="s">
        <v>146</v>
      </c>
      <c r="C35" s="4" t="s">
        <v>15</v>
      </c>
      <c r="D35" s="4" t="s">
        <v>147</v>
      </c>
      <c r="E35" s="5" t="s">
        <v>17</v>
      </c>
      <c r="F35" s="5" t="s">
        <v>33</v>
      </c>
      <c r="G35" s="4" t="n">
        <v>9929.12</v>
      </c>
      <c r="H35" s="4" t="n">
        <v>6367.61</v>
      </c>
      <c r="I35" s="4" t="n">
        <v>161</v>
      </c>
      <c r="J35" s="4" t="n">
        <v>79</v>
      </c>
      <c r="K35" s="4" t="s">
        <v>19</v>
      </c>
      <c r="L35" s="4" t="s">
        <v>96</v>
      </c>
      <c r="M35" s="4" t="s">
        <v>27</v>
      </c>
    </row>
    <row r="36" customFormat="false" ht="15" hidden="false" customHeight="false" outlineLevel="0" collapsed="false">
      <c r="A36" s="2" t="s">
        <v>148</v>
      </c>
      <c r="B36" s="3" t="s">
        <v>149</v>
      </c>
      <c r="C36" s="2" t="s">
        <v>15</v>
      </c>
      <c r="D36" s="2" t="s">
        <v>150</v>
      </c>
      <c r="E36" s="3" t="s">
        <v>32</v>
      </c>
      <c r="F36" s="3" t="s">
        <v>39</v>
      </c>
      <c r="G36" s="2" t="n">
        <v>3732.55</v>
      </c>
      <c r="H36" s="2" t="n">
        <v>2235.6</v>
      </c>
      <c r="I36" s="2" t="n">
        <v>343</v>
      </c>
      <c r="J36" s="2" t="n">
        <v>61</v>
      </c>
      <c r="K36" s="2" t="s">
        <v>19</v>
      </c>
      <c r="L36" s="2" t="s">
        <v>96</v>
      </c>
      <c r="M36" s="2" t="s">
        <v>85</v>
      </c>
    </row>
    <row r="37" customFormat="false" ht="15" hidden="false" customHeight="false" outlineLevel="0" collapsed="false">
      <c r="A37" s="4" t="s">
        <v>151</v>
      </c>
      <c r="B37" s="5" t="s">
        <v>152</v>
      </c>
      <c r="C37" s="4" t="s">
        <v>30</v>
      </c>
      <c r="D37" s="4" t="s">
        <v>153</v>
      </c>
      <c r="E37" s="5" t="s">
        <v>17</v>
      </c>
      <c r="F37" s="5" t="s">
        <v>18</v>
      </c>
      <c r="G37" s="4" t="n">
        <v>6982.63</v>
      </c>
      <c r="H37" s="4" t="n">
        <v>5234.27</v>
      </c>
      <c r="I37" s="4" t="n">
        <v>51</v>
      </c>
      <c r="J37" s="4" t="n">
        <v>24</v>
      </c>
      <c r="K37" s="4" t="s">
        <v>19</v>
      </c>
      <c r="L37" s="4" t="s">
        <v>48</v>
      </c>
      <c r="M37" s="4" t="s">
        <v>89</v>
      </c>
    </row>
    <row r="38" customFormat="false" ht="15" hidden="false" customHeight="false" outlineLevel="0" collapsed="false">
      <c r="A38" s="2" t="s">
        <v>154</v>
      </c>
      <c r="B38" s="3" t="s">
        <v>155</v>
      </c>
      <c r="C38" s="2" t="s">
        <v>30</v>
      </c>
      <c r="D38" s="2" t="s">
        <v>156</v>
      </c>
      <c r="E38" s="3" t="s">
        <v>38</v>
      </c>
      <c r="F38" s="3" t="s">
        <v>18</v>
      </c>
      <c r="G38" s="2" t="n">
        <v>13213.2</v>
      </c>
      <c r="H38" s="2" t="n">
        <v>7827.26</v>
      </c>
      <c r="I38" s="2" t="n">
        <v>80</v>
      </c>
      <c r="J38" s="2" t="n">
        <v>48</v>
      </c>
      <c r="K38" s="2" t="s">
        <v>19</v>
      </c>
      <c r="L38" s="2" t="s">
        <v>96</v>
      </c>
      <c r="M38" s="2" t="s">
        <v>118</v>
      </c>
    </row>
    <row r="39" customFormat="false" ht="15" hidden="false" customHeight="false" outlineLevel="0" collapsed="false">
      <c r="A39" s="4" t="s">
        <v>157</v>
      </c>
      <c r="B39" s="5" t="s">
        <v>158</v>
      </c>
      <c r="C39" s="4" t="s">
        <v>45</v>
      </c>
      <c r="D39" s="4" t="s">
        <v>159</v>
      </c>
      <c r="E39" s="5" t="s">
        <v>47</v>
      </c>
      <c r="F39" s="5" t="s">
        <v>39</v>
      </c>
      <c r="G39" s="4" t="n">
        <v>13989.99</v>
      </c>
      <c r="H39" s="4" t="n">
        <v>7357.29</v>
      </c>
      <c r="I39" s="4" t="n">
        <v>449</v>
      </c>
      <c r="J39" s="4" t="n">
        <v>28</v>
      </c>
      <c r="K39" s="4" t="s">
        <v>19</v>
      </c>
      <c r="L39" s="4" t="s">
        <v>96</v>
      </c>
      <c r="M39" s="4" t="s">
        <v>21</v>
      </c>
    </row>
    <row r="40" customFormat="false" ht="15" hidden="false" customHeight="false" outlineLevel="0" collapsed="false">
      <c r="A40" s="2" t="s">
        <v>160</v>
      </c>
      <c r="B40" s="3" t="s">
        <v>161</v>
      </c>
      <c r="C40" s="2" t="s">
        <v>45</v>
      </c>
      <c r="D40" s="2" t="s">
        <v>162</v>
      </c>
      <c r="E40" s="3" t="s">
        <v>32</v>
      </c>
      <c r="F40" s="3" t="s">
        <v>53</v>
      </c>
      <c r="G40" s="2" t="n">
        <v>4230.75</v>
      </c>
      <c r="H40" s="2" t="n">
        <v>2755.1</v>
      </c>
      <c r="I40" s="2" t="n">
        <v>367</v>
      </c>
      <c r="J40" s="2" t="n">
        <v>41</v>
      </c>
      <c r="K40" s="2" t="s">
        <v>19</v>
      </c>
      <c r="L40" s="2" t="s">
        <v>48</v>
      </c>
      <c r="M40" s="2" t="s">
        <v>89</v>
      </c>
    </row>
    <row r="41" customFormat="false" ht="15" hidden="false" customHeight="false" outlineLevel="0" collapsed="false">
      <c r="A41" s="6" t="s">
        <v>163</v>
      </c>
      <c r="B41" s="7" t="s">
        <v>164</v>
      </c>
      <c r="C41" s="6" t="s">
        <v>51</v>
      </c>
      <c r="D41" s="6" t="s">
        <v>165</v>
      </c>
      <c r="E41" s="7" t="s">
        <v>25</v>
      </c>
      <c r="F41" s="7" t="s">
        <v>39</v>
      </c>
      <c r="G41" s="6" t="n">
        <v>13598.98</v>
      </c>
      <c r="H41" s="6" t="n">
        <v>9676.03</v>
      </c>
      <c r="I41" s="6" t="n">
        <v>47</v>
      </c>
      <c r="J41" s="6" t="n">
        <v>60</v>
      </c>
      <c r="K41" s="6" t="s">
        <v>65</v>
      </c>
      <c r="L41" s="6" t="s">
        <v>166</v>
      </c>
      <c r="M41" s="6" t="s">
        <v>89</v>
      </c>
    </row>
    <row r="42" customFormat="false" ht="15" hidden="false" customHeight="false" outlineLevel="0" collapsed="false">
      <c r="A42" s="2" t="s">
        <v>167</v>
      </c>
      <c r="B42" s="3" t="s">
        <v>168</v>
      </c>
      <c r="C42" s="2" t="s">
        <v>51</v>
      </c>
      <c r="D42" s="2" t="s">
        <v>169</v>
      </c>
      <c r="E42" s="3" t="s">
        <v>17</v>
      </c>
      <c r="F42" s="3" t="s">
        <v>39</v>
      </c>
      <c r="G42" s="2" t="n">
        <v>11612.56</v>
      </c>
      <c r="H42" s="2" t="n">
        <v>7655.91</v>
      </c>
      <c r="I42" s="2" t="n">
        <v>134</v>
      </c>
      <c r="J42" s="2" t="n">
        <v>30</v>
      </c>
      <c r="K42" s="2" t="s">
        <v>19</v>
      </c>
      <c r="L42" s="2" t="s">
        <v>122</v>
      </c>
      <c r="M42" s="2" t="s">
        <v>34</v>
      </c>
    </row>
    <row r="43" customFormat="false" ht="15" hidden="false" customHeight="false" outlineLevel="0" collapsed="false">
      <c r="A43" s="4" t="s">
        <v>170</v>
      </c>
      <c r="B43" s="5" t="s">
        <v>171</v>
      </c>
      <c r="C43" s="4" t="s">
        <v>59</v>
      </c>
      <c r="D43" s="4" t="s">
        <v>172</v>
      </c>
      <c r="E43" s="5" t="s">
        <v>17</v>
      </c>
      <c r="F43" s="5" t="s">
        <v>18</v>
      </c>
      <c r="G43" s="4" t="n">
        <v>1313.61</v>
      </c>
      <c r="H43" s="4" t="n">
        <v>946.82</v>
      </c>
      <c r="I43" s="4" t="n">
        <v>462</v>
      </c>
      <c r="J43" s="4" t="n">
        <v>29</v>
      </c>
      <c r="K43" s="4" t="s">
        <v>19</v>
      </c>
      <c r="L43" s="4" t="s">
        <v>26</v>
      </c>
      <c r="M43" s="4" t="s">
        <v>34</v>
      </c>
    </row>
    <row r="44" customFormat="false" ht="15" hidden="false" customHeight="false" outlineLevel="0" collapsed="false">
      <c r="A44" s="2" t="s">
        <v>173</v>
      </c>
      <c r="B44" s="3" t="s">
        <v>174</v>
      </c>
      <c r="C44" s="2" t="s">
        <v>59</v>
      </c>
      <c r="D44" s="2" t="s">
        <v>175</v>
      </c>
      <c r="E44" s="3" t="s">
        <v>47</v>
      </c>
      <c r="F44" s="3" t="s">
        <v>53</v>
      </c>
      <c r="G44" s="2" t="n">
        <v>6560.84</v>
      </c>
      <c r="H44" s="2" t="n">
        <v>3349.03</v>
      </c>
      <c r="I44" s="2" t="n">
        <v>186</v>
      </c>
      <c r="J44" s="2" t="n">
        <v>77</v>
      </c>
      <c r="K44" s="2" t="s">
        <v>19</v>
      </c>
      <c r="L44" s="2" t="s">
        <v>26</v>
      </c>
      <c r="M44" s="2" t="s">
        <v>34</v>
      </c>
    </row>
    <row r="45" customFormat="false" ht="15" hidden="false" customHeight="false" outlineLevel="0" collapsed="false">
      <c r="A45" s="4" t="s">
        <v>176</v>
      </c>
      <c r="B45" s="5" t="s">
        <v>177</v>
      </c>
      <c r="C45" s="4" t="s">
        <v>69</v>
      </c>
      <c r="D45" s="4" t="s">
        <v>178</v>
      </c>
      <c r="E45" s="5" t="s">
        <v>32</v>
      </c>
      <c r="F45" s="5" t="s">
        <v>53</v>
      </c>
      <c r="G45" s="4" t="n">
        <v>10070.61</v>
      </c>
      <c r="H45" s="4" t="n">
        <v>5925.74</v>
      </c>
      <c r="I45" s="4" t="n">
        <v>286</v>
      </c>
      <c r="J45" s="4" t="n">
        <v>76</v>
      </c>
      <c r="K45" s="4" t="s">
        <v>19</v>
      </c>
      <c r="L45" s="4" t="s">
        <v>166</v>
      </c>
      <c r="M45" s="4" t="s">
        <v>34</v>
      </c>
    </row>
    <row r="46" customFormat="false" ht="15" hidden="false" customHeight="false" outlineLevel="0" collapsed="false">
      <c r="A46" s="2" t="s">
        <v>179</v>
      </c>
      <c r="B46" s="3" t="s">
        <v>180</v>
      </c>
      <c r="C46" s="2" t="s">
        <v>69</v>
      </c>
      <c r="D46" s="2" t="s">
        <v>181</v>
      </c>
      <c r="E46" s="3" t="s">
        <v>64</v>
      </c>
      <c r="F46" s="3" t="s">
        <v>53</v>
      </c>
      <c r="G46" s="2" t="n">
        <v>13244.96</v>
      </c>
      <c r="H46" s="2" t="n">
        <v>6704.55</v>
      </c>
      <c r="I46" s="2" t="n">
        <v>377</v>
      </c>
      <c r="J46" s="2" t="n">
        <v>79</v>
      </c>
      <c r="K46" s="2" t="s">
        <v>19</v>
      </c>
      <c r="L46" s="2" t="s">
        <v>66</v>
      </c>
      <c r="M46" s="2" t="s">
        <v>34</v>
      </c>
    </row>
    <row r="47" customFormat="false" ht="15" hidden="false" customHeight="false" outlineLevel="0" collapsed="false">
      <c r="A47" s="4" t="s">
        <v>182</v>
      </c>
      <c r="B47" s="5" t="s">
        <v>183</v>
      </c>
      <c r="C47" s="4" t="s">
        <v>80</v>
      </c>
      <c r="D47" s="4" t="s">
        <v>184</v>
      </c>
      <c r="E47" s="5" t="s">
        <v>32</v>
      </c>
      <c r="F47" s="5" t="s">
        <v>53</v>
      </c>
      <c r="G47" s="4" t="n">
        <v>4148.72</v>
      </c>
      <c r="H47" s="4" t="n">
        <v>2891.01</v>
      </c>
      <c r="I47" s="4" t="n">
        <v>55</v>
      </c>
      <c r="J47" s="4" t="n">
        <v>44</v>
      </c>
      <c r="K47" s="4" t="s">
        <v>19</v>
      </c>
      <c r="L47" s="4" t="s">
        <v>26</v>
      </c>
      <c r="M47" s="4" t="s">
        <v>85</v>
      </c>
    </row>
    <row r="48" customFormat="false" ht="15" hidden="false" customHeight="false" outlineLevel="0" collapsed="false">
      <c r="A48" s="2" t="s">
        <v>185</v>
      </c>
      <c r="B48" s="3" t="s">
        <v>186</v>
      </c>
      <c r="C48" s="2" t="s">
        <v>80</v>
      </c>
      <c r="D48" s="2" t="s">
        <v>187</v>
      </c>
      <c r="E48" s="3" t="s">
        <v>64</v>
      </c>
      <c r="F48" s="3" t="s">
        <v>33</v>
      </c>
      <c r="G48" s="2" t="n">
        <v>5374.94</v>
      </c>
      <c r="H48" s="2" t="n">
        <v>3790.05</v>
      </c>
      <c r="I48" s="2" t="n">
        <v>446</v>
      </c>
      <c r="J48" s="2" t="n">
        <v>34</v>
      </c>
      <c r="K48" s="2" t="s">
        <v>19</v>
      </c>
      <c r="L48" s="2" t="s">
        <v>48</v>
      </c>
      <c r="M48" s="2" t="s">
        <v>118</v>
      </c>
    </row>
    <row r="49" customFormat="false" ht="15" hidden="false" customHeight="false" outlineLevel="0" collapsed="false">
      <c r="A49" s="4" t="s">
        <v>188</v>
      </c>
      <c r="B49" s="5" t="s">
        <v>189</v>
      </c>
      <c r="C49" s="4" t="s">
        <v>134</v>
      </c>
      <c r="D49" s="4" t="s">
        <v>190</v>
      </c>
      <c r="E49" s="5" t="s">
        <v>64</v>
      </c>
      <c r="F49" s="5" t="s">
        <v>33</v>
      </c>
      <c r="G49" s="4" t="n">
        <v>5058.28</v>
      </c>
      <c r="H49" s="4" t="n">
        <v>3622.17</v>
      </c>
      <c r="I49" s="4" t="n">
        <v>495</v>
      </c>
      <c r="J49" s="4" t="n">
        <v>69</v>
      </c>
      <c r="K49" s="4" t="s">
        <v>19</v>
      </c>
      <c r="L49" s="4" t="s">
        <v>96</v>
      </c>
      <c r="M49" s="4" t="s">
        <v>34</v>
      </c>
    </row>
    <row r="50" customFormat="false" ht="15" hidden="false" customHeight="false" outlineLevel="0" collapsed="false">
      <c r="A50" s="2" t="s">
        <v>191</v>
      </c>
      <c r="B50" s="3" t="s">
        <v>192</v>
      </c>
      <c r="C50" s="2" t="s">
        <v>134</v>
      </c>
      <c r="D50" s="2" t="s">
        <v>193</v>
      </c>
      <c r="E50" s="3" t="s">
        <v>47</v>
      </c>
      <c r="F50" s="3" t="s">
        <v>33</v>
      </c>
      <c r="G50" s="2" t="n">
        <v>10256.87</v>
      </c>
      <c r="H50" s="2" t="n">
        <v>7291.77</v>
      </c>
      <c r="I50" s="2" t="n">
        <v>169</v>
      </c>
      <c r="J50" s="2" t="n">
        <v>80</v>
      </c>
      <c r="K50" s="2" t="s">
        <v>19</v>
      </c>
      <c r="L50" s="2" t="s">
        <v>26</v>
      </c>
      <c r="M50" s="2" t="s">
        <v>21</v>
      </c>
    </row>
    <row r="51" customFormat="false" ht="15" hidden="false" customHeight="false" outlineLevel="0" collapsed="false">
      <c r="A51" s="4" t="s">
        <v>194</v>
      </c>
      <c r="B51" s="5" t="s">
        <v>195</v>
      </c>
      <c r="C51" s="4" t="s">
        <v>134</v>
      </c>
      <c r="D51" s="4" t="s">
        <v>196</v>
      </c>
      <c r="E51" s="5" t="s">
        <v>64</v>
      </c>
      <c r="F51" s="5" t="s">
        <v>39</v>
      </c>
      <c r="G51" s="4" t="n">
        <v>766.21</v>
      </c>
      <c r="H51" s="4" t="n">
        <v>497.38</v>
      </c>
      <c r="I51" s="4" t="n">
        <v>176</v>
      </c>
      <c r="J51" s="4" t="n">
        <v>66</v>
      </c>
      <c r="K51" s="4" t="s">
        <v>19</v>
      </c>
      <c r="L51" s="4" t="s">
        <v>66</v>
      </c>
      <c r="M51" s="4" t="s">
        <v>34</v>
      </c>
    </row>
    <row r="52" customFormat="false" ht="15" hidden="false" customHeight="false" outlineLevel="0" collapsed="false">
      <c r="A52" s="2" t="s">
        <v>197</v>
      </c>
      <c r="B52" s="3" t="s">
        <v>198</v>
      </c>
      <c r="C52" s="2" t="s">
        <v>15</v>
      </c>
      <c r="D52" s="2" t="s">
        <v>199</v>
      </c>
      <c r="E52" s="3" t="s">
        <v>47</v>
      </c>
      <c r="F52" s="3" t="s">
        <v>18</v>
      </c>
      <c r="G52" s="2" t="n">
        <v>5900.89</v>
      </c>
      <c r="H52" s="2" t="n">
        <v>3801.04</v>
      </c>
      <c r="I52" s="2" t="n">
        <v>130</v>
      </c>
      <c r="J52" s="2" t="n">
        <v>22</v>
      </c>
      <c r="K52" s="2" t="s">
        <v>19</v>
      </c>
      <c r="L52" s="2" t="s">
        <v>166</v>
      </c>
      <c r="M52" s="2" t="s">
        <v>118</v>
      </c>
    </row>
    <row r="53" customFormat="false" ht="15" hidden="false" customHeight="false" outlineLevel="0" collapsed="false">
      <c r="A53" s="4" t="s">
        <v>200</v>
      </c>
      <c r="B53" s="5" t="s">
        <v>201</v>
      </c>
      <c r="C53" s="4" t="s">
        <v>15</v>
      </c>
      <c r="D53" s="4" t="s">
        <v>202</v>
      </c>
      <c r="E53" s="5" t="s">
        <v>47</v>
      </c>
      <c r="F53" s="5" t="s">
        <v>53</v>
      </c>
      <c r="G53" s="4" t="n">
        <v>5590.48</v>
      </c>
      <c r="H53" s="4" t="n">
        <v>2893.04</v>
      </c>
      <c r="I53" s="4" t="n">
        <v>340</v>
      </c>
      <c r="J53" s="4" t="n">
        <v>78</v>
      </c>
      <c r="K53" s="4" t="s">
        <v>19</v>
      </c>
      <c r="L53" s="4" t="s">
        <v>66</v>
      </c>
      <c r="M53" s="4" t="s">
        <v>34</v>
      </c>
    </row>
    <row r="54" customFormat="false" ht="15" hidden="false" customHeight="false" outlineLevel="0" collapsed="false">
      <c r="A54" s="2" t="s">
        <v>203</v>
      </c>
      <c r="B54" s="3" t="s">
        <v>204</v>
      </c>
      <c r="C54" s="2" t="s">
        <v>69</v>
      </c>
      <c r="D54" s="2" t="s">
        <v>205</v>
      </c>
      <c r="E54" s="3" t="s">
        <v>17</v>
      </c>
      <c r="F54" s="3" t="s">
        <v>39</v>
      </c>
      <c r="G54" s="2" t="n">
        <v>7705.41</v>
      </c>
      <c r="H54" s="2" t="n">
        <v>5137.38</v>
      </c>
      <c r="I54" s="2" t="n">
        <v>167</v>
      </c>
      <c r="J54" s="2" t="n">
        <v>45</v>
      </c>
      <c r="K54" s="2" t="s">
        <v>19</v>
      </c>
      <c r="L54" s="2" t="s">
        <v>96</v>
      </c>
      <c r="M54" s="2" t="s">
        <v>34</v>
      </c>
    </row>
    <row r="55" customFormat="false" ht="15" hidden="false" customHeight="false" outlineLevel="0" collapsed="false">
      <c r="A55" s="4" t="s">
        <v>206</v>
      </c>
      <c r="B55" s="5" t="s">
        <v>207</v>
      </c>
      <c r="C55" s="4" t="s">
        <v>69</v>
      </c>
      <c r="D55" s="4" t="s">
        <v>208</v>
      </c>
      <c r="E55" s="5" t="s">
        <v>25</v>
      </c>
      <c r="F55" s="5" t="s">
        <v>33</v>
      </c>
      <c r="G55" s="4" t="n">
        <v>10224.31</v>
      </c>
      <c r="H55" s="4" t="n">
        <v>7419.8</v>
      </c>
      <c r="I55" s="4" t="n">
        <v>315</v>
      </c>
      <c r="J55" s="4" t="n">
        <v>56</v>
      </c>
      <c r="K55" s="4" t="s">
        <v>19</v>
      </c>
      <c r="L55" s="4" t="s">
        <v>96</v>
      </c>
      <c r="M55" s="4" t="s">
        <v>34</v>
      </c>
    </row>
    <row r="56" customFormat="false" ht="15" hidden="false" customHeight="false" outlineLevel="0" collapsed="false">
      <c r="A56" s="2" t="s">
        <v>209</v>
      </c>
      <c r="B56" s="3" t="s">
        <v>210</v>
      </c>
      <c r="C56" s="2" t="s">
        <v>134</v>
      </c>
      <c r="D56" s="2" t="s">
        <v>211</v>
      </c>
      <c r="E56" s="3" t="s">
        <v>17</v>
      </c>
      <c r="F56" s="3" t="s">
        <v>39</v>
      </c>
      <c r="G56" s="2" t="n">
        <v>4446.32</v>
      </c>
      <c r="H56" s="2" t="n">
        <v>2701.02</v>
      </c>
      <c r="I56" s="2" t="n">
        <v>296</v>
      </c>
      <c r="J56" s="2" t="n">
        <v>58</v>
      </c>
      <c r="K56" s="2" t="s">
        <v>19</v>
      </c>
      <c r="L56" s="2" t="s">
        <v>66</v>
      </c>
      <c r="M56" s="2" t="s">
        <v>85</v>
      </c>
    </row>
    <row r="57" customFormat="false" ht="15" hidden="false" customHeight="false" outlineLevel="0" collapsed="false">
      <c r="A57" s="4" t="s">
        <v>212</v>
      </c>
      <c r="B57" s="5" t="s">
        <v>213</v>
      </c>
      <c r="C57" s="4" t="s">
        <v>51</v>
      </c>
      <c r="D57" s="4" t="s">
        <v>214</v>
      </c>
      <c r="E57" s="5" t="s">
        <v>25</v>
      </c>
      <c r="F57" s="5" t="s">
        <v>53</v>
      </c>
      <c r="G57" s="4" t="n">
        <v>7765.38</v>
      </c>
      <c r="H57" s="4" t="n">
        <v>5423.6</v>
      </c>
      <c r="I57" s="4" t="n">
        <v>491</v>
      </c>
      <c r="J57" s="4" t="n">
        <v>70</v>
      </c>
      <c r="K57" s="4" t="s">
        <v>19</v>
      </c>
      <c r="L57" s="4" t="s">
        <v>71</v>
      </c>
      <c r="M57" s="4" t="s">
        <v>21</v>
      </c>
    </row>
    <row r="58" customFormat="false" ht="15" hidden="false" customHeight="false" outlineLevel="0" collapsed="false">
      <c r="A58" s="2" t="s">
        <v>215</v>
      </c>
      <c r="B58" s="3" t="s">
        <v>216</v>
      </c>
      <c r="C58" s="2" t="s">
        <v>59</v>
      </c>
      <c r="D58" s="2" t="s">
        <v>217</v>
      </c>
      <c r="E58" s="3" t="s">
        <v>47</v>
      </c>
      <c r="F58" s="3" t="s">
        <v>39</v>
      </c>
      <c r="G58" s="2" t="n">
        <v>1582.13</v>
      </c>
      <c r="H58" s="2" t="n">
        <v>1167.61</v>
      </c>
      <c r="I58" s="2" t="n">
        <v>120</v>
      </c>
      <c r="J58" s="2" t="n">
        <v>63</v>
      </c>
      <c r="K58" s="2" t="s">
        <v>19</v>
      </c>
      <c r="L58" s="2" t="s">
        <v>96</v>
      </c>
      <c r="M58" s="2" t="s">
        <v>27</v>
      </c>
    </row>
    <row r="59" customFormat="false" ht="15" hidden="false" customHeight="false" outlineLevel="0" collapsed="false">
      <c r="A59" s="4" t="s">
        <v>218</v>
      </c>
      <c r="B59" s="5" t="s">
        <v>219</v>
      </c>
      <c r="C59" s="4" t="s">
        <v>59</v>
      </c>
      <c r="D59" s="4" t="s">
        <v>220</v>
      </c>
      <c r="E59" s="5" t="s">
        <v>64</v>
      </c>
      <c r="F59" s="5" t="s">
        <v>18</v>
      </c>
      <c r="G59" s="4" t="n">
        <v>883.96</v>
      </c>
      <c r="H59" s="4" t="n">
        <v>659.42</v>
      </c>
      <c r="I59" s="4" t="n">
        <v>312</v>
      </c>
      <c r="J59" s="4" t="n">
        <v>74</v>
      </c>
      <c r="K59" s="4" t="s">
        <v>19</v>
      </c>
      <c r="L59" s="4" t="s">
        <v>20</v>
      </c>
      <c r="M59" s="4" t="s">
        <v>85</v>
      </c>
    </row>
    <row r="60" customFormat="false" ht="15" hidden="false" customHeight="false" outlineLevel="0" collapsed="false">
      <c r="A60" s="2" t="s">
        <v>221</v>
      </c>
      <c r="B60" s="3" t="s">
        <v>222</v>
      </c>
      <c r="C60" s="2" t="s">
        <v>45</v>
      </c>
      <c r="D60" s="2" t="s">
        <v>223</v>
      </c>
      <c r="E60" s="3" t="s">
        <v>32</v>
      </c>
      <c r="F60" s="3" t="s">
        <v>53</v>
      </c>
      <c r="G60" s="2" t="n">
        <v>10831.52</v>
      </c>
      <c r="H60" s="2" t="n">
        <v>6455.53</v>
      </c>
      <c r="I60" s="2" t="n">
        <v>204</v>
      </c>
      <c r="J60" s="2" t="n">
        <v>35</v>
      </c>
      <c r="K60" s="2" t="s">
        <v>19</v>
      </c>
      <c r="L60" s="2" t="s">
        <v>71</v>
      </c>
      <c r="M60" s="2" t="s">
        <v>118</v>
      </c>
    </row>
    <row r="61" customFormat="false" ht="15" hidden="false" customHeight="false" outlineLevel="0" collapsed="false">
      <c r="A61" s="4" t="s">
        <v>224</v>
      </c>
      <c r="B61" s="5" t="s">
        <v>225</v>
      </c>
      <c r="C61" s="4" t="s">
        <v>45</v>
      </c>
      <c r="D61" s="4" t="s">
        <v>226</v>
      </c>
      <c r="E61" s="5" t="s">
        <v>25</v>
      </c>
      <c r="F61" s="5" t="s">
        <v>53</v>
      </c>
      <c r="G61" s="4" t="n">
        <v>2803.12</v>
      </c>
      <c r="H61" s="4" t="n">
        <v>2072.88</v>
      </c>
      <c r="I61" s="4" t="n">
        <v>265</v>
      </c>
      <c r="J61" s="4" t="n">
        <v>49</v>
      </c>
      <c r="K61" s="4" t="s">
        <v>19</v>
      </c>
      <c r="L61" s="4" t="s">
        <v>26</v>
      </c>
      <c r="M61" s="4" t="s">
        <v>27</v>
      </c>
    </row>
    <row r="62" customFormat="false" ht="15" hidden="false" customHeight="false" outlineLevel="0" collapsed="false">
      <c r="A62" s="2" t="s">
        <v>227</v>
      </c>
      <c r="B62" s="3" t="s">
        <v>228</v>
      </c>
      <c r="C62" s="2" t="s">
        <v>15</v>
      </c>
      <c r="D62" s="2" t="s">
        <v>229</v>
      </c>
      <c r="E62" s="3" t="s">
        <v>25</v>
      </c>
      <c r="F62" s="3" t="s">
        <v>53</v>
      </c>
      <c r="G62" s="2" t="n">
        <v>12060.97</v>
      </c>
      <c r="H62" s="2" t="n">
        <v>8043.39</v>
      </c>
      <c r="I62" s="2" t="n">
        <v>286</v>
      </c>
      <c r="J62" s="2" t="n">
        <v>58</v>
      </c>
      <c r="K62" s="2" t="s">
        <v>19</v>
      </c>
      <c r="L62" s="2" t="s">
        <v>66</v>
      </c>
      <c r="M62" s="2" t="s">
        <v>85</v>
      </c>
    </row>
    <row r="63" customFormat="false" ht="15" hidden="false" customHeight="false" outlineLevel="0" collapsed="false">
      <c r="A63" s="4" t="s">
        <v>230</v>
      </c>
      <c r="B63" s="5" t="s">
        <v>231</v>
      </c>
      <c r="C63" s="4" t="s">
        <v>15</v>
      </c>
      <c r="D63" s="4" t="s">
        <v>232</v>
      </c>
      <c r="E63" s="5" t="s">
        <v>32</v>
      </c>
      <c r="F63" s="5" t="s">
        <v>33</v>
      </c>
      <c r="G63" s="4" t="n">
        <v>12492.42</v>
      </c>
      <c r="H63" s="4" t="n">
        <v>7957.27</v>
      </c>
      <c r="I63" s="4" t="n">
        <v>459</v>
      </c>
      <c r="J63" s="4" t="n">
        <v>30</v>
      </c>
      <c r="K63" s="4" t="s">
        <v>19</v>
      </c>
      <c r="L63" s="4" t="s">
        <v>122</v>
      </c>
      <c r="M63" s="4" t="s">
        <v>85</v>
      </c>
    </row>
    <row r="64" customFormat="false" ht="15" hidden="false" customHeight="false" outlineLevel="0" collapsed="false">
      <c r="A64" s="2" t="s">
        <v>233</v>
      </c>
      <c r="B64" s="3" t="s">
        <v>234</v>
      </c>
      <c r="C64" s="2" t="s">
        <v>80</v>
      </c>
      <c r="D64" s="2" t="s">
        <v>235</v>
      </c>
      <c r="E64" s="3" t="s">
        <v>64</v>
      </c>
      <c r="F64" s="3" t="s">
        <v>39</v>
      </c>
      <c r="G64" s="2" t="n">
        <v>11534.04</v>
      </c>
      <c r="H64" s="2" t="n">
        <v>7270.19</v>
      </c>
      <c r="I64" s="2" t="n">
        <v>320</v>
      </c>
      <c r="J64" s="2" t="n">
        <v>35</v>
      </c>
      <c r="K64" s="2" t="s">
        <v>19</v>
      </c>
      <c r="L64" s="2" t="s">
        <v>96</v>
      </c>
      <c r="M64" s="2" t="s">
        <v>85</v>
      </c>
    </row>
    <row r="65" customFormat="false" ht="15" hidden="false" customHeight="false" outlineLevel="0" collapsed="false">
      <c r="A65" s="4" t="s">
        <v>236</v>
      </c>
      <c r="B65" s="5" t="s">
        <v>237</v>
      </c>
      <c r="C65" s="4" t="s">
        <v>80</v>
      </c>
      <c r="D65" s="4" t="s">
        <v>238</v>
      </c>
      <c r="E65" s="5" t="s">
        <v>32</v>
      </c>
      <c r="F65" s="5" t="s">
        <v>39</v>
      </c>
      <c r="G65" s="4" t="n">
        <v>3670.5</v>
      </c>
      <c r="H65" s="4" t="n">
        <v>2143.43</v>
      </c>
      <c r="I65" s="4" t="n">
        <v>457</v>
      </c>
      <c r="J65" s="4" t="n">
        <v>54</v>
      </c>
      <c r="K65" s="4" t="s">
        <v>19</v>
      </c>
      <c r="L65" s="4" t="s">
        <v>20</v>
      </c>
      <c r="M65" s="4" t="s">
        <v>34</v>
      </c>
    </row>
    <row r="66" customFormat="false" ht="15" hidden="false" customHeight="false" outlineLevel="0" collapsed="false">
      <c r="A66" s="6" t="s">
        <v>239</v>
      </c>
      <c r="B66" s="7" t="s">
        <v>240</v>
      </c>
      <c r="C66" s="6" t="s">
        <v>30</v>
      </c>
      <c r="D66" s="6" t="s">
        <v>241</v>
      </c>
      <c r="E66" s="7" t="s">
        <v>64</v>
      </c>
      <c r="F66" s="7" t="s">
        <v>33</v>
      </c>
      <c r="G66" s="6" t="n">
        <v>10470.46</v>
      </c>
      <c r="H66" s="6" t="n">
        <v>7084.36</v>
      </c>
      <c r="I66" s="6" t="n">
        <v>32</v>
      </c>
      <c r="J66" s="6" t="n">
        <v>46</v>
      </c>
      <c r="K66" s="6" t="s">
        <v>65</v>
      </c>
      <c r="L66" s="6" t="s">
        <v>166</v>
      </c>
      <c r="M66" s="6" t="s">
        <v>34</v>
      </c>
    </row>
    <row r="67" customFormat="false" ht="15" hidden="false" customHeight="false" outlineLevel="0" collapsed="false">
      <c r="A67" s="4" t="s">
        <v>242</v>
      </c>
      <c r="B67" s="5" t="s">
        <v>243</v>
      </c>
      <c r="C67" s="4" t="s">
        <v>69</v>
      </c>
      <c r="D67" s="4" t="s">
        <v>244</v>
      </c>
      <c r="E67" s="5" t="s">
        <v>25</v>
      </c>
      <c r="F67" s="5" t="s">
        <v>33</v>
      </c>
      <c r="G67" s="4" t="n">
        <v>1121.53</v>
      </c>
      <c r="H67" s="4" t="n">
        <v>794.29</v>
      </c>
      <c r="I67" s="4" t="n">
        <v>199</v>
      </c>
      <c r="J67" s="4" t="n">
        <v>77</v>
      </c>
      <c r="K67" s="4" t="s">
        <v>19</v>
      </c>
      <c r="L67" s="4" t="s">
        <v>26</v>
      </c>
      <c r="M67" s="4" t="s">
        <v>34</v>
      </c>
    </row>
    <row r="68" customFormat="false" ht="15" hidden="false" customHeight="false" outlineLevel="0" collapsed="false">
      <c r="A68" s="2" t="s">
        <v>245</v>
      </c>
      <c r="B68" s="3" t="s">
        <v>246</v>
      </c>
      <c r="C68" s="2" t="s">
        <v>51</v>
      </c>
      <c r="D68" s="2" t="s">
        <v>247</v>
      </c>
      <c r="E68" s="3" t="s">
        <v>17</v>
      </c>
      <c r="F68" s="3" t="s">
        <v>39</v>
      </c>
      <c r="G68" s="2" t="n">
        <v>4619.47</v>
      </c>
      <c r="H68" s="2" t="n">
        <v>2760.12</v>
      </c>
      <c r="I68" s="2" t="n">
        <v>456</v>
      </c>
      <c r="J68" s="2" t="n">
        <v>73</v>
      </c>
      <c r="K68" s="2" t="s">
        <v>19</v>
      </c>
      <c r="L68" s="2" t="s">
        <v>166</v>
      </c>
      <c r="M68" s="2" t="s">
        <v>27</v>
      </c>
    </row>
    <row r="69" customFormat="false" ht="15" hidden="false" customHeight="false" outlineLevel="0" collapsed="false">
      <c r="A69" s="4" t="s">
        <v>248</v>
      </c>
      <c r="B69" s="5" t="s">
        <v>249</v>
      </c>
      <c r="C69" s="4" t="s">
        <v>59</v>
      </c>
      <c r="D69" s="4" t="s">
        <v>250</v>
      </c>
      <c r="E69" s="5" t="s">
        <v>64</v>
      </c>
      <c r="F69" s="5" t="s">
        <v>39</v>
      </c>
      <c r="G69" s="4" t="n">
        <v>6650.37</v>
      </c>
      <c r="H69" s="4" t="n">
        <v>3373.44</v>
      </c>
      <c r="I69" s="4" t="n">
        <v>172</v>
      </c>
      <c r="J69" s="4" t="n">
        <v>62</v>
      </c>
      <c r="K69" s="4" t="s">
        <v>19</v>
      </c>
      <c r="L69" s="4" t="s">
        <v>166</v>
      </c>
      <c r="M69" s="4" t="s">
        <v>34</v>
      </c>
    </row>
    <row r="70" customFormat="false" ht="15" hidden="false" customHeight="false" outlineLevel="0" collapsed="false">
      <c r="A70" s="2" t="s">
        <v>251</v>
      </c>
      <c r="B70" s="3" t="s">
        <v>252</v>
      </c>
      <c r="C70" s="2" t="s">
        <v>134</v>
      </c>
      <c r="D70" s="2" t="s">
        <v>253</v>
      </c>
      <c r="E70" s="3" t="s">
        <v>64</v>
      </c>
      <c r="F70" s="3" t="s">
        <v>18</v>
      </c>
      <c r="G70" s="2" t="n">
        <v>13622.55</v>
      </c>
      <c r="H70" s="2" t="n">
        <v>8827.05</v>
      </c>
      <c r="I70" s="2" t="n">
        <v>339</v>
      </c>
      <c r="J70" s="2" t="n">
        <v>21</v>
      </c>
      <c r="K70" s="2" t="s">
        <v>19</v>
      </c>
      <c r="L70" s="2" t="s">
        <v>20</v>
      </c>
      <c r="M70" s="2" t="s">
        <v>34</v>
      </c>
    </row>
    <row r="71" customFormat="false" ht="15" hidden="false" customHeight="false" outlineLevel="0" collapsed="false">
      <c r="A71" s="4" t="s">
        <v>254</v>
      </c>
      <c r="B71" s="5" t="s">
        <v>255</v>
      </c>
      <c r="C71" s="4" t="s">
        <v>51</v>
      </c>
      <c r="D71" s="4" t="s">
        <v>256</v>
      </c>
      <c r="E71" s="5" t="s">
        <v>25</v>
      </c>
      <c r="F71" s="5" t="s">
        <v>53</v>
      </c>
      <c r="G71" s="4" t="n">
        <v>944.21</v>
      </c>
      <c r="H71" s="4" t="n">
        <v>561.59</v>
      </c>
      <c r="I71" s="4" t="n">
        <v>108</v>
      </c>
      <c r="J71" s="4" t="n">
        <v>49</v>
      </c>
      <c r="K71" s="4" t="s">
        <v>19</v>
      </c>
      <c r="L71" s="4" t="s">
        <v>66</v>
      </c>
      <c r="M71" s="4" t="s">
        <v>34</v>
      </c>
    </row>
    <row r="72" customFormat="false" ht="15" hidden="false" customHeight="false" outlineLevel="0" collapsed="false">
      <c r="A72" s="6" t="s">
        <v>257</v>
      </c>
      <c r="B72" s="7" t="s">
        <v>258</v>
      </c>
      <c r="C72" s="6" t="s">
        <v>15</v>
      </c>
      <c r="D72" s="6" t="s">
        <v>259</v>
      </c>
      <c r="E72" s="7" t="s">
        <v>38</v>
      </c>
      <c r="F72" s="7" t="s">
        <v>33</v>
      </c>
      <c r="G72" s="6" t="n">
        <v>3933.62</v>
      </c>
      <c r="H72" s="6" t="n">
        <v>2047.36</v>
      </c>
      <c r="I72" s="6" t="n">
        <v>9</v>
      </c>
      <c r="J72" s="6" t="n">
        <v>67</v>
      </c>
      <c r="K72" s="6" t="s">
        <v>65</v>
      </c>
      <c r="L72" s="6" t="s">
        <v>26</v>
      </c>
      <c r="M72" s="6" t="s">
        <v>34</v>
      </c>
    </row>
    <row r="73" customFormat="false" ht="15" hidden="false" customHeight="false" outlineLevel="0" collapsed="false">
      <c r="A73" s="4" t="s">
        <v>260</v>
      </c>
      <c r="B73" s="5" t="s">
        <v>261</v>
      </c>
      <c r="C73" s="4" t="s">
        <v>30</v>
      </c>
      <c r="D73" s="4" t="s">
        <v>262</v>
      </c>
      <c r="E73" s="5" t="s">
        <v>32</v>
      </c>
      <c r="F73" s="5" t="s">
        <v>18</v>
      </c>
      <c r="G73" s="4" t="n">
        <v>11762.25</v>
      </c>
      <c r="H73" s="4" t="n">
        <v>7797.65</v>
      </c>
      <c r="I73" s="4" t="n">
        <v>386</v>
      </c>
      <c r="J73" s="4" t="n">
        <v>21</v>
      </c>
      <c r="K73" s="4" t="s">
        <v>19</v>
      </c>
      <c r="L73" s="4" t="s">
        <v>48</v>
      </c>
      <c r="M73" s="4" t="s">
        <v>27</v>
      </c>
    </row>
  </sheetData>
  <autoFilter ref="A1:M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</cols>
  <sheetData>
    <row r="1" customFormat="false" ht="19.7" hidden="false" customHeight="false" outlineLevel="0" collapsed="false">
      <c r="A1" s="8" t="s">
        <v>263</v>
      </c>
    </row>
    <row r="3" customFormat="false" ht="15" hidden="false" customHeight="false" outlineLevel="0" collapsed="false">
      <c r="A3" s="9" t="s">
        <v>264</v>
      </c>
      <c r="B3" s="9" t="s">
        <v>265</v>
      </c>
    </row>
    <row r="4" customFormat="false" ht="15" hidden="false" customHeight="false" outlineLevel="0" collapsed="false">
      <c r="A4" s="10" t="s">
        <v>266</v>
      </c>
      <c r="B4" s="11" t="n">
        <f aca="false">COUNTA(Inventory!A2:A73)</f>
        <v>72</v>
      </c>
    </row>
    <row r="5" customFormat="false" ht="15" hidden="false" customHeight="false" outlineLevel="0" collapsed="false">
      <c r="A5" s="12" t="s">
        <v>267</v>
      </c>
      <c r="B5" s="13" t="n">
        <f aca="false">SUM(Inventory!I2:I73)</f>
        <v>18039</v>
      </c>
    </row>
    <row r="6" customFormat="false" ht="15" hidden="false" customHeight="false" outlineLevel="0" collapsed="false">
      <c r="A6" s="10" t="s">
        <v>268</v>
      </c>
      <c r="B6" s="11" t="n">
        <f aca="false">COUNTIF(Inventory!K2:K73,"In Stock")</f>
        <v>65</v>
      </c>
    </row>
    <row r="7" customFormat="false" ht="15" hidden="false" customHeight="false" outlineLevel="0" collapsed="false">
      <c r="A7" s="12" t="s">
        <v>269</v>
      </c>
      <c r="B7" s="13" t="n">
        <f aca="false">COUNTIF(Inventory!K2:K73,"Low Stock")</f>
        <v>7</v>
      </c>
    </row>
    <row r="8" customFormat="false" ht="15" hidden="false" customHeight="false" outlineLevel="0" collapsed="false">
      <c r="A8" s="10" t="s">
        <v>270</v>
      </c>
      <c r="B8" s="11" t="n">
        <f aca="false">COUNTIF(Inventory!K2:K73,"Out of Stock")</f>
        <v>0</v>
      </c>
    </row>
    <row r="9" customFormat="false" ht="15" hidden="false" customHeight="false" outlineLevel="0" collapsed="false">
      <c r="A9" s="12" t="s">
        <v>271</v>
      </c>
      <c r="B9" s="13" t="n">
        <f aca="false">SUMPRODUCT(Inventory!G2:G73,Inventory!I2:I73)</f>
        <v>136767547.01</v>
      </c>
    </row>
    <row r="10" customFormat="false" ht="15" hidden="false" customHeight="false" outlineLevel="0" collapsed="false">
      <c r="A10" s="10" t="s">
        <v>272</v>
      </c>
      <c r="B10" s="11" t="n">
        <f aca="false">AVERAGE(Inventory!G2:G73)</f>
        <v>7579.86791666667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2026-03-26T08:52:33Z</dcterms:created>
  <dc:creator>openpyxl</dc:creator>
  <dc:description/>
  <dc:language>en-US</dc:language>
  <cp:lastModifiedBy/>
  <dcterms:modified xsi:type="dcterms:W3CDTF">2026-03-26T08:52:33Z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