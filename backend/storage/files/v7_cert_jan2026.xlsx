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ions" sheetId="1" state="visible" r:id="rId1"/>
    <sheet name="Summary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Employee</t>
        </is>
      </c>
      <c r="B1" s="1" t="inlineStr">
        <is>
          <t>Technology</t>
        </is>
      </c>
      <c r="C1" s="1" t="inlineStr">
        <is>
          <t>Certification Name</t>
        </is>
      </c>
      <c r="D1" s="1" t="inlineStr">
        <is>
          <t>Level</t>
        </is>
      </c>
      <c r="E1" s="1" t="inlineStr">
        <is>
          <t>Date Achieved</t>
        </is>
      </c>
      <c r="F1" s="1" t="inlineStr">
        <is>
          <t>Expiry Date</t>
        </is>
      </c>
    </row>
    <row r="2">
      <c r="A2" t="inlineStr">
        <is>
          <t>Alice</t>
        </is>
      </c>
      <c r="B2" t="inlineStr">
        <is>
          <t>AWS</t>
        </is>
      </c>
      <c r="C2" t="inlineStr">
        <is>
          <t>AWS Cloud Practitioner</t>
        </is>
      </c>
      <c r="D2" t="inlineStr">
        <is>
          <t>Associate</t>
        </is>
      </c>
      <c r="E2" t="inlineStr">
        <is>
          <t>2025-01-15</t>
        </is>
      </c>
      <c r="F2" t="inlineStr">
        <is>
          <t>2028-01-15</t>
        </is>
      </c>
    </row>
    <row r="3">
      <c r="A3" t="inlineStr">
        <is>
          <t>Bob</t>
        </is>
      </c>
      <c r="B3" t="inlineStr">
        <is>
          <t>AWS</t>
        </is>
      </c>
      <c r="C3" t="inlineStr">
        <is>
          <t>AWS Solutions Architect Associate</t>
        </is>
      </c>
      <c r="D3" t="inlineStr">
        <is>
          <t>Associate</t>
        </is>
      </c>
      <c r="E3" t="inlineStr">
        <is>
          <t>2025-03-20</t>
        </is>
      </c>
      <c r="F3" t="inlineStr">
        <is>
          <t>2028-03-20</t>
        </is>
      </c>
    </row>
    <row r="4">
      <c r="A4" t="inlineStr">
        <is>
          <t>Henry</t>
        </is>
      </c>
      <c r="B4" t="inlineStr">
        <is>
          <t>AWS</t>
        </is>
      </c>
      <c r="C4" t="inlineStr">
        <is>
          <t>AWS Developer Associate</t>
        </is>
      </c>
      <c r="D4" t="inlineStr">
        <is>
          <t>Associate</t>
        </is>
      </c>
      <c r="E4" t="inlineStr">
        <is>
          <t>2025-06-10</t>
        </is>
      </c>
      <c r="F4" t="inlineStr">
        <is>
          <t>2028-06-10</t>
        </is>
      </c>
    </row>
    <row r="5">
      <c r="A5" t="inlineStr">
        <is>
          <t>Carol</t>
        </is>
      </c>
      <c r="B5" t="inlineStr">
        <is>
          <t>Azure</t>
        </is>
      </c>
      <c r="C5" t="inlineStr">
        <is>
          <t>Azure Fundamentals</t>
        </is>
      </c>
      <c r="D5" t="inlineStr">
        <is>
          <t>Fundamental</t>
        </is>
      </c>
      <c r="E5" t="inlineStr">
        <is>
          <t>2025-02-12</t>
        </is>
      </c>
      <c r="F5" t="inlineStr">
        <is>
          <t>2027-02-12</t>
        </is>
      </c>
    </row>
    <row r="6">
      <c r="A6" t="inlineStr">
        <is>
          <t>David</t>
        </is>
      </c>
      <c r="B6" t="inlineStr">
        <is>
          <t>Azure</t>
        </is>
      </c>
      <c r="C6" t="inlineStr">
        <is>
          <t>Azure Administrator Associate</t>
        </is>
      </c>
      <c r="D6" t="inlineStr">
        <is>
          <t>Associate</t>
        </is>
      </c>
      <c r="E6" t="inlineStr">
        <is>
          <t>2025-08-01</t>
        </is>
      </c>
      <c r="F6" t="inlineStr">
        <is>
          <t>2027-08-01</t>
        </is>
      </c>
    </row>
    <row r="7">
      <c r="A7" t="inlineStr">
        <is>
          <t>Eve</t>
        </is>
      </c>
      <c r="B7" t="inlineStr">
        <is>
          <t>Security</t>
        </is>
      </c>
      <c r="C7" t="inlineStr">
        <is>
          <t>CompTIA Security+</t>
        </is>
      </c>
      <c r="D7" t="inlineStr">
        <is>
          <t>Associate</t>
        </is>
      </c>
      <c r="E7" t="inlineStr">
        <is>
          <t>2025-04-18</t>
        </is>
      </c>
      <c r="F7" t="inlineStr">
        <is>
          <t>2028-04-18</t>
        </is>
      </c>
    </row>
    <row r="8">
      <c r="A8" t="inlineStr">
        <is>
          <t>Jack</t>
        </is>
      </c>
      <c r="B8" t="inlineStr">
        <is>
          <t>Security</t>
        </is>
      </c>
      <c r="C8" t="inlineStr">
        <is>
          <t>CISSP</t>
        </is>
      </c>
      <c r="D8" t="inlineStr">
        <is>
          <t>Professional</t>
        </is>
      </c>
      <c r="E8" t="inlineStr">
        <is>
          <t>2024-11-05</t>
        </is>
      </c>
      <c r="F8" t="inlineStr">
        <is>
          <t>2027-11-05</t>
        </is>
      </c>
    </row>
    <row r="9">
      <c r="A9" t="inlineStr">
        <is>
          <t>Frank</t>
        </is>
      </c>
      <c r="B9" t="inlineStr">
        <is>
          <t>Data</t>
        </is>
      </c>
      <c r="C9" t="inlineStr">
        <is>
          <t>Databricks Data Engineer Associate</t>
        </is>
      </c>
      <c r="D9" t="inlineStr">
        <is>
          <t>Associate</t>
        </is>
      </c>
      <c r="E9" t="inlineStr">
        <is>
          <t>2025-05-22</t>
        </is>
      </c>
      <c r="F9" t="inlineStr">
        <is>
          <t>2027-05-22</t>
        </is>
      </c>
    </row>
    <row r="10">
      <c r="A10" t="inlineStr">
        <is>
          <t>Liam</t>
        </is>
      </c>
      <c r="B10" t="inlineStr">
        <is>
          <t>Data</t>
        </is>
      </c>
      <c r="C10" t="inlineStr">
        <is>
          <t>Tableau Desktop Specialist</t>
        </is>
      </c>
      <c r="D10" t="inlineStr">
        <is>
          <t>Associate</t>
        </is>
      </c>
      <c r="E10" t="inlineStr">
        <is>
          <t>2025-09-14</t>
        </is>
      </c>
      <c r="F10" t="inlineStr">
        <is>
          <t>2027-09-14</t>
        </is>
      </c>
    </row>
    <row r="11">
      <c r="A11" t="inlineStr">
        <is>
          <t>Grace</t>
        </is>
      </c>
      <c r="B11" t="inlineStr">
        <is>
          <t>GCP</t>
        </is>
      </c>
      <c r="C11" t="inlineStr">
        <is>
          <t>Associate Cloud Engineer</t>
        </is>
      </c>
      <c r="D11" t="inlineStr">
        <is>
          <t>Associate</t>
        </is>
      </c>
      <c r="E11" t="inlineStr">
        <is>
          <t>2025-07-03</t>
        </is>
      </c>
      <c r="F11" t="inlineStr">
        <is>
          <t>2028-07-03</t>
        </is>
      </c>
    </row>
    <row r="12">
      <c r="A12" t="inlineStr">
        <is>
          <t>Irene</t>
        </is>
      </c>
      <c r="B12" t="inlineStr">
        <is>
          <t>DevOps</t>
        </is>
      </c>
      <c r="C12" t="inlineStr">
        <is>
          <t>Docker Certified Associate</t>
        </is>
      </c>
      <c r="D12" t="inlineStr">
        <is>
          <t>Associate</t>
        </is>
      </c>
      <c r="E12" t="inlineStr">
        <is>
          <t>2025-10-09</t>
        </is>
      </c>
      <c r="F12" t="inlineStr">
        <is>
          <t>2027-10-09</t>
        </is>
      </c>
    </row>
    <row r="13">
      <c r="A13" t="inlineStr">
        <is>
          <t>Karen</t>
        </is>
      </c>
      <c r="B13" t="inlineStr">
        <is>
          <t>Agile</t>
        </is>
      </c>
      <c r="C13" t="inlineStr">
        <is>
          <t>Professional Scrum Master I</t>
        </is>
      </c>
      <c r="D13" t="inlineStr">
        <is>
          <t>Foundation</t>
        </is>
      </c>
      <c r="E13" t="inlineStr">
        <is>
          <t>2025-12-01</t>
        </is>
      </c>
      <c r="F13" t="inlineStr">
        <is>
          <t>2027-12-01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AWS Certifications</t>
        </is>
      </c>
      <c r="B2">
        <f>COUNTIF(Certifications!$B$2:$B$13,"AWS")</f>
        <v/>
      </c>
    </row>
    <row r="3">
      <c r="A3" t="inlineStr">
        <is>
          <t>Azure Certifications</t>
        </is>
      </c>
      <c r="B3">
        <f>COUNTIF(Certifications!$B$2:$B$13,"Azure")</f>
        <v/>
      </c>
    </row>
    <row r="4">
      <c r="A4" t="inlineStr">
        <is>
          <t>Security Certifications</t>
        </is>
      </c>
      <c r="B4">
        <f>COUNTIF(Certifications!$B$2:$B$13,"Security")</f>
        <v/>
      </c>
    </row>
    <row r="5">
      <c r="A5" t="inlineStr">
        <is>
          <t>Data Certifications</t>
        </is>
      </c>
      <c r="B5">
        <f>COUNTIF(Certifications!$B$2:$B$13,"Data")</f>
        <v/>
      </c>
    </row>
    <row r="6">
      <c r="A6" t="inlineStr">
        <is>
          <t>GCP Certifications</t>
        </is>
      </c>
      <c r="B6">
        <f>COUNTIF(Certifications!$B$2:$B$13,"GCP")</f>
        <v/>
      </c>
    </row>
    <row r="7">
      <c r="A7" t="inlineStr">
        <is>
          <t>DevOps Certifications</t>
        </is>
      </c>
      <c r="B7">
        <f>COUNTIF(Certifications!$B$2:$B$13,"DevOps")</f>
        <v/>
      </c>
    </row>
    <row r="8">
      <c r="A8" t="inlineStr">
        <is>
          <t>Agile Certifications</t>
        </is>
      </c>
      <c r="B8">
        <f>COUNTIF(Certifications!$B$2:$B$13,"Agile")</f>
        <v/>
      </c>
    </row>
    <row r="9">
      <c r="A9" t="inlineStr">
        <is>
          <t>AI Certifications</t>
        </is>
      </c>
      <c r="B9">
        <f>COUNTIF(Certifications!$B$2:$B$13,"AI")</f>
        <v/>
      </c>
    </row>
    <row r="10">
      <c r="A10" t="inlineStr">
        <is>
          <t>Kubernetes Certifications</t>
        </is>
      </c>
      <c r="B10">
        <f>COUNTIF(Certifications!$B$2:$B$13,"Kubernetes")</f>
        <v/>
      </c>
      <c r="C10">
        <f>SUM(B2:B8)</f>
        <v/>
      </c>
    </row>
    <row r="11">
      <c r="A11" t="inlineStr">
        <is>
          <t>Total Certifications</t>
        </is>
      </c>
      <c r="B11">
        <f>SUM(B2:B8)</f>
        <v/>
      </c>
    </row>
    <row r="13">
      <c r="A13" t="inlineStr">
        <is>
          <t>Snapshot</t>
        </is>
      </c>
      <c r="B13" t="inlineStr">
        <is>
          <t>Jan-2026 baseline</t>
        </is>
      </c>
    </row>
    <row r="14">
      <c r="A14" t="inlineStr">
        <is>
          <t>Generated For</t>
        </is>
      </c>
      <c r="B14" t="inlineStr">
        <is>
          <t>Certification Intelligence Layer fixtures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2026-03-21T11:40:44Z</dcterms:created>
  <dcterms:modified xsi:type="dcterms:W3CDTF">2026-03-21T11:40:44Z</dcterms:modified>
</cp:coreProperties>
</file>